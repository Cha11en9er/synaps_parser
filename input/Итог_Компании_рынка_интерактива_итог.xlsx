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Задачи" sheetId="1" state="visible" r:id="rId3"/>
    <sheet name="Анализ &gt;50 млн" sheetId="2" state="visible" r:id="rId4"/>
    <sheet name="Выводы" sheetId="3" state="visible" r:id="rId5"/>
    <sheet name="Бенчмарк цен и офферов" sheetId="4" state="visible" r:id="rId6"/>
    <sheet name="База" sheetId="5" state="visible" r:id="rId7"/>
    <sheet name="Финансы" sheetId="6" state="hidden" r:id="rId8"/>
    <sheet name="Данные" sheetId="7" state="visible" r:id="rId9"/>
  </sheets>
  <definedNames>
    <definedName function="false" hidden="true" localSheetId="1" name="_xlnm._FilterDatabase" vbProcedure="false">'Анализ &gt;50 млн'!$A$1:$V$113</definedName>
    <definedName function="false" hidden="true" localSheetId="4" name="_xlnm._FilterDatabase" vbProcedure="false">База!$A$1:$F$1021</definedName>
    <definedName function="false" hidden="true" localSheetId="0" name="_xlnm._FilterDatabase" vbProcedure="false">Задачи!$A$1:$H$20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<sst xmlns="http://schemas.openxmlformats.org/spreadsheetml/2006/main" count="2625" uniqueCount="1253">
  <si>
    <t xml:space="preserve">№</t>
  </si>
  <si>
    <t xml:space="preserve">Срок</t>
  </si>
  <si>
    <t xml:space="preserve">Задача</t>
  </si>
  <si>
    <t xml:space="preserve">Зачем / результат</t>
  </si>
  <si>
    <t xml:space="preserve">Ответственный</t>
  </si>
  <si>
    <t xml:space="preserve">Связанные компании (лист «Анализ»)</t>
  </si>
  <si>
    <t xml:space="preserve">Статус</t>
  </si>
  <si>
    <t xml:space="preserve">Дата</t>
  </si>
  <si>
    <t xml:space="preserve">Сегодня</t>
  </si>
  <si>
    <t xml:space="preserve">Сверить нашу цену за м² на 2–3 ходовых LED-экрана с бенчмарком и опубликовать на сайте «от … ₽/м²» + 2–3 примера «размер → итоговая цена»</t>
  </si>
  <si>
    <t xml:space="preserve">Открытые цены есть у Детектора, Экранпро, GTLight, MediaScreen. Клиент приходит уже с ценой в голове — без неё мы проигрываем на входе и теряем лиды после КП</t>
  </si>
  <si>
    <t xml:space="preserve">Андрей</t>
  </si>
  <si>
    <t xml:space="preserve">Детектор, ЭКРАНПРО, Электронные Системы, MEDIASCREEN</t>
  </si>
  <si>
    <t xml:space="preserve">Не начато</t>
  </si>
  <si>
    <t xml:space="preserve">Пересобрать гарантийный оффер: «до 5 лет» перестал быть отличием</t>
  </si>
  <si>
    <t xml:space="preserve">У Экранпро 5 лет + 10 лет техподдержки, у GTLight до 5 лет. Нужно добавить то, что можем выполнить: сроки выезда, подменный фонд, сервисный контракт — и зафиксировать в КП</t>
  </si>
  <si>
    <t xml:space="preserve">ЭКРАНПРО, Электронные Системы, АудиоВидеоСистемы</t>
  </si>
  <si>
    <t xml:space="preserve">На этой неделе</t>
  </si>
  <si>
    <t xml:space="preserve">Ввести регламент «КП за 24 часа» для типовых запросов</t>
  </si>
  <si>
    <t xml:space="preserve">Бенчмарк: Интэч — 2 часа, DIXTEN — от 3 часов, АВС — 1 день. Скорость КП напрямую влияет на отвал после запроса</t>
  </si>
  <si>
    <t xml:space="preserve">Андрей + менеджеры</t>
  </si>
  <si>
    <t xml:space="preserve">Интэч Инкорпорейтед, Дикстен, АудиоВидеоСистемы</t>
  </si>
  <si>
    <t xml:space="preserve">Подать заявки в партнёрские программы TrueConf и Addreality</t>
  </si>
  <si>
    <t xml:space="preserve">Пакеты «ВКС-комната под ключ» с ПО из реестра и «экран + контент-платформа по подписке» — вход в госсектор и повторная выручка</t>
  </si>
  <si>
    <t xml:space="preserve">Труконф, Эддреалити</t>
  </si>
  <si>
    <t xml:space="preserve">«Тайный покупатель» по одному ТЗ: экран 3×2 м интерьер, 6×3 м улица, киоск 43"</t>
  </si>
  <si>
    <t xml:space="preserve">Узнать реальные цены, скорость ответа, гарантию, качество КП у прямых конкурентов</t>
  </si>
  <si>
    <t xml:space="preserve">Менеджер / ассистент</t>
  </si>
  <si>
    <t xml:space="preserve">Детектор, ЭКРАНПРО, 1000 Дюймов, Смарткиоск, Анкомп, ЭЙЧДИ</t>
  </si>
  <si>
    <t xml:space="preserve">Прозвон музейных студий: «ваша концепция и контент — наше производство»</t>
  </si>
  <si>
    <t xml:space="preserve">У студий нет своего производства корпусов, киосков, LED — это партнёрский канал в растущий музейный сегмент</t>
  </si>
  <si>
    <t xml:space="preserve">Visuals, Банана Брэд, ФИЛИН ПРО, ТРИПЛАН, ПМТ, Метаформа, Викинг Проект</t>
  </si>
  <si>
    <t xml:space="preserve">Вручную проверить 12 строк, где сайт не открылся (колонка Q, оранжевые в O)</t>
  </si>
  <si>
    <t xml:space="preserve">Сейчас в этих строках шаблонный текст, а не факты</t>
  </si>
  <si>
    <t xml:space="preserve">Ассистент / агент Chrome</t>
  </si>
  <si>
    <t xml:space="preserve">XCOM, ЛЕ-Интеграция, Видау, Видео ЛЕНД, ИНТЕР, БС-ГРУП, INTOKU, SubProject, СВ ТЕЛЕКОМ, Milestone, Аллегри, БС-Инжиниринг</t>
  </si>
  <si>
    <t xml:space="preserve">В течение месяца</t>
  </si>
  <si>
    <t xml:space="preserve">Собрать пакеты «переговорная S/M/L» с фикс-ценой и сроком</t>
  </si>
  <si>
    <t xml:space="preserve">Готовый образец — SMART ROOMS: 7 пакетов от 159 000 до 5 800 000 ₽. Типовой пакет — понятный вход для клиента и для партнёров-интеграторов</t>
  </si>
  <si>
    <t xml:space="preserve">СМАРТ РУМС</t>
  </si>
  <si>
    <t xml:space="preserve">Калькулятор стоимости LED-экрана на st-led</t>
  </si>
  <si>
    <t xml:space="preserve">Есть у Детектора, Экранпро, GTLight, 1000 Дюймов (там ещё −10% за заявку из калькулятора). Калькулятор = лидогенерация</t>
  </si>
  <si>
    <t xml:space="preserve">Андрей + разработчик</t>
  </si>
  <si>
    <t xml:space="preserve">Детектор, ЭКРАНПРО, Электронные Системы, 1000 Дюймов</t>
  </si>
  <si>
    <t xml:space="preserve">Страница «Для интеграторов и дилеров» с конкретными условиями: скидки по уровням, сроки, WL, гарантия</t>
  </si>
  <si>
    <t xml:space="preserve">У Громвижн и Д2 партнёрские разделы без цифр — конкретика будет отличием. Модель кабинета дилера — у Future Vision</t>
  </si>
  <si>
    <t xml:space="preserve">ГРОМВИЖН, Д2 Групп, Future Vision, ЦС Проект</t>
  </si>
  <si>
    <t xml:space="preserve">Прозвон AV-интеграторов с приоритетом A: WL-производство LED, киосков, корпусов</t>
  </si>
  <si>
    <t xml:space="preserve">Главный канал роста без расширения штата. Вести статусы в колонках R–V</t>
  </si>
  <si>
    <t xml:space="preserve">Менеджеры</t>
  </si>
  <si>
    <t xml:space="preserve">Фильтр: колонка M = «A», L = «Партнёр…»</t>
  </si>
  <si>
    <t xml:space="preserve">Офферы конверсии: пилот / тест-драйв панели или киоска, лизинг, бесплатная 3D-визуализация</t>
  </si>
  <si>
    <t xml:space="preserve">Эти офферы есть у АВС, Optimus, Open Vision, Умного Века, 1000 Дюймов — сейчас у нас их нет</t>
  </si>
  <si>
    <t xml:space="preserve">АудиоВидеоСистемы, ОПТИМУС КОНСАЛТ, ОПЕН ВИЖН, Умный Век</t>
  </si>
  <si>
    <t xml:space="preserve">Выяснить, реально ли внести нашу продукцию в реестр Минпромторга</t>
  </si>
  <si>
    <t xml:space="preserve">Future Vision использует реестр как аргумент в госзакупках; наши целевые музеи и вузы покупают по 44/223-ФЗ</t>
  </si>
  <si>
    <t xml:space="preserve">Future Vision, ДИСОФТ/МЭИ</t>
  </si>
  <si>
    <t xml:space="preserve">Telegram @simple_touch_ru: регулярные фотоотчёты с объектов + истории Андрея</t>
  </si>
  <si>
    <t xml:space="preserve">У большинства интеграторов соцсетей нет вообще; у лидеров (VISUALPOINT, HD LED Tech) — посты каждый день с объектов</t>
  </si>
  <si>
    <t xml:space="preserve">Андрей + ассистент</t>
  </si>
  <si>
    <t xml:space="preserve">Вижуалпоинт, ЭЙЧДИ, ЦС Проект</t>
  </si>
  <si>
    <t xml:space="preserve">Разместить кейс «Дом Москвы в Абхазии» в АВ Клубе</t>
  </si>
  <si>
    <t xml:space="preserve">Отраслевое медиа, которое читают AV-интеграторы — прямая аудитория партнёрки</t>
  </si>
  <si>
    <t xml:space="preserve">АВ Клуб ПРО</t>
  </si>
  <si>
    <t xml:space="preserve">Запросить дилерские прайсы у Profdisplay, CTC Capital, Digis и сравнить с закупкой через Шанхай</t>
  </si>
  <si>
    <t xml:space="preserve">Запасной канал поставки и понимание рыночной закупочной цены</t>
  </si>
  <si>
    <t xml:space="preserve">Profdisplay, СИТИСИ Кэпитал, ЦС Проект</t>
  </si>
  <si>
    <t xml:space="preserve">Доработка таблицы</t>
  </si>
  <si>
    <t xml:space="preserve">Исправить названия и типы по колонке Q (2 строки без названия, 6 неверных типов, 2 приоритета)</t>
  </si>
  <si>
    <t xml:space="preserve">Фильтры и сводка в «Выводах» будут считаться корректно</t>
  </si>
  <si>
    <t xml:space="preserve">Ассистент</t>
  </si>
  <si>
    <t xml:space="preserve">См. колонку Q</t>
  </si>
  <si>
    <t xml:space="preserve">Для приоритета A и A (мониторинг) открыть VK/Telegram вручную и записать дату последнего поста и темы</t>
  </si>
  <si>
    <t xml:space="preserve">Агент не смог открыть VK — в K у многих «не детализировано»</t>
  </si>
  <si>
    <t xml:space="preserve">Колонка Q = «Открыть VK/Telegram…»</t>
  </si>
  <si>
    <t xml:space="preserve">Найти ЛПР и контакты для компаний с приоритетом A и заполнить колонки R–S</t>
  </si>
  <si>
    <t xml:space="preserve">Без ЛПР прозвон превращается в звонки на ресепшн</t>
  </si>
  <si>
    <t xml:space="preserve">Ассистент / менеджеры</t>
  </si>
  <si>
    <t xml:space="preserve">Фильтр: колонка M = «A»</t>
  </si>
  <si>
    <t xml:space="preserve">Компания</t>
  </si>
  <si>
    <t xml:space="preserve">Тип</t>
  </si>
  <si>
    <t xml:space="preserve">Сайт</t>
  </si>
  <si>
    <t xml:space="preserve">ИНН</t>
  </si>
  <si>
    <t xml:space="preserve">Выручка 2023, млн ₽</t>
  </si>
  <si>
    <t xml:space="preserve">Регион</t>
  </si>
  <si>
    <t xml:space="preserve">Чем занимается</t>
  </si>
  <si>
    <t xml:space="preserve">Ключевые товары / услуги</t>
  </si>
  <si>
    <t xml:space="preserve">Предложения клиентам</t>
  </si>
  <si>
    <t xml:space="preserve">Что применить Simple Touch в ближайшее время</t>
  </si>
  <si>
    <t xml:space="preserve">Соцсети и о чём пишут</t>
  </si>
  <si>
    <t xml:space="preserve">★ Кем компания является для нас</t>
  </si>
  <si>
    <t xml:space="preserve">★ Приоритет (A — сейчас, B — в течение месяца, C — не сейчас)</t>
  </si>
  <si>
    <t xml:space="preserve">★ Первый шаг / точка входа</t>
  </si>
  <si>
    <t xml:space="preserve">Статус проверки данных</t>
  </si>
  <si>
    <t xml:space="preserve">Источники</t>
  </si>
  <si>
    <t xml:space="preserve">⚑ Что доработать в строке</t>
  </si>
  <si>
    <t xml:space="preserve">ЛПР (ФИО, должность)</t>
  </si>
  <si>
    <t xml:space="preserve">Контакт (телефон / e-mail / TG)</t>
  </si>
  <si>
    <t xml:space="preserve">Статус работы</t>
  </si>
  <si>
    <t xml:space="preserve">Дата следующего шага</t>
  </si>
  <si>
    <t xml:space="preserve">Комментарий по контакту</t>
  </si>
  <si>
    <t xml:space="preserve">КРОК</t>
  </si>
  <si>
    <t xml:space="preserve">Широкопрофильный</t>
  </si>
  <si>
    <t xml:space="preserve">croc.ru</t>
  </si>
  <si>
    <t xml:space="preserve">Москва</t>
  </si>
  <si>
    <t xml:space="preserve">КРОК — технологический партнёр с 30-летним опытом: ИТ-инфраструктура, внедрение информационных систем, цифровая трансформация крупных предприятий (AV — одно из направлений, на главной странице не выделено отдельно).</t>
  </si>
  <si>
    <t xml:space="preserve">ИТ-консалтинг и стратегия, системная интеграция, инфраструктурные решения (AV-направление отдельно на главной не детализировано — требуется отдельная AV-страница)</t>
  </si>
  <si>
    <t xml:space="preserve">Нет цен/гарантий на главной. Есть бесплатные форматы: демо-дни, кейс-лаборатории</t>
  </si>
  <si>
    <t xml:space="preserve">У КРОК демо-дни и кейс-лаборатории как формат вовлечения B2B-клиентов — Simple Touch может перенять формат открытых демо-дней в шоуруме</t>
  </si>
  <si>
    <t xml:space="preserve">Telegram (закрытая ссылка-приглашение), VK vk.com/crocincor, YouTube, Habr habr.com/ru/companies/croc — активность не детализирована (на Habr всего 1 пост в профиле)</t>
  </si>
  <si>
    <t xml:space="preserve">Заказчик субподряда / WL-производства</t>
  </si>
  <si>
    <t xml:space="preserve">B</t>
  </si>
  <si>
    <t xml:space="preserve">Выйти на руководителя AV-направления или закупки; предложить WL-производство нестандартных конструкций с гарантией до 5 лет</t>
  </si>
  <si>
    <t xml:space="preserve">Проверено, данные изменены</t>
  </si>
  <si>
    <t xml:space="preserve">https://croc.ru/</t>
  </si>
  <si>
    <t xml:space="preserve">XCOM</t>
  </si>
  <si>
    <t xml:space="preserve">xcom.ru</t>
  </si>
  <si>
    <t xml:space="preserve">ИТ-интегратор и поставщик оборудования для корпораций и госсектора</t>
  </si>
  <si>
    <t xml:space="preserve">Видеостены, LED, ВКС, ситуационные центры, СКС, ИТ-инфраструктура</t>
  </si>
  <si>
    <t xml:space="preserve">Комплексный проект «под ключ»: аудит → проект → поставка → монтаж → сервис; тендеры 44/223-ФЗ</t>
  </si>
  <si>
    <t xml:space="preserve">Страница «Для интеграторов» на сайте: производство нестандартных корпусов, стоек, LED-конструкций и брендирования под их проекты (White Label)</t>
  </si>
  <si>
    <t xml:space="preserve">Не проверено — открыть сайт, найти иконки соцсетей, оценить частоту постов</t>
  </si>
  <si>
    <t xml:space="preserve">Сайт не открывается (пустая белая страница, контент не загружается)</t>
  </si>
  <si>
    <t xml:space="preserve">Сайт не открылся — проверить вручную или найти актуальный домен по ИНН; колонки G–K сейчас шаблонные, не факты</t>
  </si>
  <si>
    <t xml:space="preserve">ЛАНИТ</t>
  </si>
  <si>
    <t xml:space="preserve">lanit.ru</t>
  </si>
  <si>
    <t xml:space="preserve">ЛАНИТ — крупнейший российский ИТ-холдинг с 1989 г. (14 000+ специалистов): системная интеграция, разработка ПО, консалтинг, аутсорсинг; «Мультимедиа» упомянута как одна из услуг блока «Инфраструктура и системная интеграция» без деталей.</t>
  </si>
  <si>
    <t xml:space="preserve">Мультимедиа (без деталей на главной), ИТ-инфраструктура и системная интеграция, разработка ПО, инженерные системы, решения для удалённой работы, собственные платформы (ONPLATFORM, ONCLOUD, Онланта ИИ Хаб)</t>
  </si>
  <si>
    <t xml:space="preserve">Нет цен на сайте — предложение обсуждения по темам инноваций и инфраструктуры</t>
  </si>
  <si>
    <t xml:space="preserve">ЛАНИТ — гигант, мультимедиа/AV у них непубличное направление внутри профильных «дочек»; выходить точечно на конкретную дочернюю компанию, а не на головной сайт</t>
  </si>
  <si>
    <t xml:space="preserve">Telegram t.me/Lanit\_life, VK vk.com/lanit\_life, Habr habrahabr.ru/company/lanit, Дзен dzen.ru/lanit — активность не детализирована</t>
  </si>
  <si>
    <t xml:space="preserve">https://lanit.ru/</t>
  </si>
  <si>
    <t xml:space="preserve">СТЕП ЛОДЖИК</t>
  </si>
  <si>
    <t xml:space="preserve">step.ru</t>
  </si>
  <si>
    <t xml:space="preserve">STEP LOGIC — системный интегратор с 1992 г.: сетевая и системная интеграция для госсектора, телекома, промышленности, финансов; есть направление «Мультимедиа-решения и унифицированные коммуникации» (студии видеоприсутствия — кейс L'Oreal).</t>
  </si>
  <si>
    <t xml:space="preserve">Мультимедиа-решения и унифицированные коммуникации, студии видеоприсутствия, мониторинговые системы, инженерные и вычислительные системы, информационная безопасность, контакт-центры</t>
  </si>
  <si>
    <t xml:space="preserve">Нет на сайте цен/акций — только направления компетенций и портфолио</t>
  </si>
  <si>
    <t xml:space="preserve">Кейс студии видеоприсутствия L'Oreal — точка входа для видеостен/LED в подобные корпоративные студии</t>
  </si>
  <si>
    <t xml:space="preserve">Habr habr.com/ru/company/step\_logic — активность не детализирована. Telegram/VK/YouTube/Дзен/Rutube не найдены</t>
  </si>
  <si>
    <t xml:space="preserve">Проверено 25.09.2026</t>
  </si>
  <si>
    <t xml:space="preserve">https://step.ru/</t>
  </si>
  <si>
    <t xml:space="preserve">АУВИКС</t>
  </si>
  <si>
    <t xml:space="preserve">Дистрибьютор</t>
  </si>
  <si>
    <t xml:space="preserve">auvix.ru</t>
  </si>
  <si>
    <t xml:space="preserve">AUVIX — крупнейший российский дистрибьютор профессионального AV-оборудования: презентационные и звуковые решения, конференц-залы и ситуационные центры «под ключ».</t>
  </si>
  <si>
    <t xml:space="preserve">Проекторы и экраны, звуковое оборудование, интерактивные доски, AV-коммутация и ВКС, LED-экраны, оборудование для записи и трансляции</t>
  </si>
  <si>
    <t xml:space="preserve">«5000+ дилеров работают с нами», доставка и самовывоз, сервисная поддержка. Точные дилерские условия/скидки/демо-фонд не опубликованы — форма «Стать дилером»</t>
  </si>
  <si>
    <t xml:space="preserve">У AUVIX 5000+ дилеров в базе — масштаб дилерской сети как ориентир; сравнить их дилерский онбординг с нашим при регистрации</t>
  </si>
  <si>
    <t xml:space="preserve">Telegram t.me/auvix, VK vk.com/auvix, YouTube, Дзен dzen.ru/auvix — активность не детализирована</t>
  </si>
  <si>
    <t xml:space="preserve">Поставщик / бенчмарк партнёрской программы</t>
  </si>
  <si>
    <t xml:space="preserve">Запросить дилерские условия и сравнить с закупкой через Шанхай</t>
  </si>
  <si>
    <t xml:space="preserve">https://auvix.ru/</t>
  </si>
  <si>
    <t xml:space="preserve">АВИЛЕКС</t>
  </si>
  <si>
    <t xml:space="preserve">Интегратор АВ</t>
  </si>
  <si>
    <t xml:space="preserve">avilex.ru</t>
  </si>
  <si>
    <t xml:space="preserve">Авилекс — системный интегратор «конвергенции информационных и аудиовизуальных технологий»: комплексные решения высшей категории сложности для госорганов и бизнеса.</t>
  </si>
  <si>
    <t xml:space="preserve">Конкретный каталог на сайте не раскрыт — только общие формулировки о комплексных AV/ИТ-решениях</t>
  </si>
  <si>
    <t xml:space="preserve">Нет на сайте: цен, гарантий, демо</t>
  </si>
  <si>
    <t xml:space="preserve">Сайт закрытый, без каталога и цен — типичный признак крупного госзаказчика; предложить WL-пакет через личный контакт, а не через сайт</t>
  </si>
  <si>
    <t xml:space="preserve">Соцсетей на сайте нет</t>
  </si>
  <si>
    <t xml:space="preserve">Партнёр: покупатель LED / киосков / стендов под своим брендом (WL)</t>
  </si>
  <si>
    <t xml:space="preserve">Звонок собственнику/коммерческому: WL-производство LED-экранов, киосков, корпусов под их бренд по дилерской цене</t>
  </si>
  <si>
    <t xml:space="preserve">https://avilex.ru/</t>
  </si>
  <si>
    <t xml:space="preserve">Полимедиа</t>
  </si>
  <si>
    <t xml:space="preserve">polymedia.ru</t>
  </si>
  <si>
    <t xml:space="preserve">Polymedia — системный интегратор и ИТ-компания: информационно-аналитические решения, ситуационные центры, мультимедийные инсталляции, дистрибуция AV; 18 000+ проектов.</t>
  </si>
  <si>
    <t xml:space="preserve">Аналитические системы (хранилища данных), ситуационные центры и диспетчерские, мультимедийные инсталляции, дистрибуция AV-оборудования с ИИ, аренда для мероприятий, техподдержка</t>
  </si>
  <si>
    <t xml:space="preserve">Нет на сайте: цен, гарантий, демо, вебинаров — расчёт стоимости и консультация по заявке</t>
  </si>
  <si>
    <t xml:space="preserve">Кейс с НИУ ВШЭ («Аудитория гибридного формата») подтверждён, также МГТУ им. Баумана — подкрепляет идею пакета «интерактивный класс/аудитория» для вузов</t>
  </si>
  <si>
    <t xml:space="preserve">VK vk.com/av\_polymedia, Telegram t.me/AV\_Polymedia, YouTube — активность не детализирована</t>
  </si>
  <si>
    <t xml:space="preserve">https://polymedia.ru/</t>
  </si>
  <si>
    <t xml:space="preserve">Лайв Саунд</t>
  </si>
  <si>
    <t xml:space="preserve">livesound.ru</t>
  </si>
  <si>
    <t xml:space="preserve">Лайв Саунд — московский интегратор мультимедийных систем (с 1997 г., 28 лет на рынке, 200+ проектов): звук, видео, сценические технологии, свет.</t>
  </si>
  <si>
    <t xml:space="preserve">Звуковые системы (оповещение, конференц-звук, концертное/театральное озвучивание, спорт); видеостены, проекция, LED-экраны, медиафасады; сценическая механика и конструкции; архитектурное/сценическое/декоративное освещение.</t>
  </si>
  <si>
    <t xml:space="preserve">Гарантия до 3 лет; проектирование и техдокументация; монтаж и пусконаладка; техподдержка и обслуживание. Цен «от», скидок или акций с цифрами на сайте нет.</t>
  </si>
  <si>
    <t xml:space="preserve">Сравнить гарантию: у Simple Touch — до 5 лет против 3 лет у Лайв Саунд; использовать длинную гарантию как конкурентное преимущество.</t>
  </si>
  <si>
    <t xml:space="preserve">Соцсетей на сайте нет.</t>
  </si>
  <si>
    <t xml:space="preserve">Низкая релевантность (звук)</t>
  </si>
  <si>
    <t xml:space="preserve">C</t>
  </si>
  <si>
    <t xml:space="preserve">https://livesound.ru/</t>
  </si>
  <si>
    <t xml:space="preserve">Аметист</t>
  </si>
  <si>
    <t xml:space="preserve">ametist.tech</t>
  </si>
  <si>
    <t xml:space="preserve">Санкт-Петербург</t>
  </si>
  <si>
    <t xml:space="preserve">Аметист — федеральный системный интегратор: ИТ-инфраструктура, ЦОД, инженерная инфраструктура, мультимедиа, ИБ; акцент на импортозамещение.</t>
  </si>
  <si>
    <t xml:space="preserve">Системная интеграция, проектирование и строительство ЦОД, инженерная инфраструктура, мультимедийные решения, информационная безопасность, поставка ИТ-оборудования</t>
  </si>
  <si>
    <t xml:space="preserve">Нет прайсов и гарантий на сайте — «стоимость каждого проекта рассчитывается индивидуально». Партнёрской программы не найдено</t>
  </si>
  <si>
    <t xml:space="preserve">Акцент на импортозамещение — предложить Simple Touch как отечественного производителя (своё производство в Москве) в рамках их программы импортозамещения</t>
  </si>
  <si>
    <t xml:space="preserve">VK vk.com/ametist.tech, RuTube, VK Video — активность не детализирована. Telegram/YouTube/Дзен/Habr не найдены</t>
  </si>
  <si>
    <t xml:space="preserve">https://ametist.tech/</t>
  </si>
  <si>
    <t xml:space="preserve">СИТИСИ Кэпитал</t>
  </si>
  <si>
    <t xml:space="preserve">ctccapital.ru</t>
  </si>
  <si>
    <t xml:space="preserve">CTC CAPITAL — московский дистрибьютор профессионального АВ-оборудования (с 1992 г.): подбор, конфигурация и монтаж решений по всей РФ.</t>
  </si>
  <si>
    <t xml:space="preserve">Проекторы, проф. дисплеи, LED-экраны, презентационные системы, коммутационное оборудование, камеры, интерактивные решения, проф. звук и свет, медицинские мониторы, hi-fi, экраны, сценическое оборудование; 50+ представленных брендов (Barco, Samsung, Unilumin и др.).</t>
  </si>
  <si>
    <t xml:space="preserve">Скидка до 9% на коммутационное оборудование при комплексных решениях; 2 шоурума в Москве (200+ единиц техники на постоянной экспозиции); аренда оборудования с техподдержкой; партнёрская B2B-программа по регистрации.</t>
  </si>
  <si>
    <t xml:space="preserve">Перенять модель постоянно действующего шоурума (200+ единиц техники «вживую») — открыть/расширить демо-зону Simple Touch, где клиент может увидеть и протестировать линейку экранов/киосков.</t>
  </si>
  <si>
    <t xml:space="preserve">Telegram t.me/ctccapital — активен, посты почти ежедневно (последние \~10-12.09.2026): новинки оборудования, участие в выставке Light+Audio Tec 2026, семинары для образования, кейсы школьных инсталляций. YouTube и VK тоже есть.</t>
  </si>
  <si>
    <t xml:space="preserve">https://ctccapital.ru/ ; https://t.me/s/ctccapital</t>
  </si>
  <si>
    <t xml:space="preserve">ЛЕ-Интеграция</t>
  </si>
  <si>
    <t xml:space="preserve">leintegration.ru</t>
  </si>
  <si>
    <t xml:space="preserve">ИТ-интегратор; AV/мультимедиа — одно из направлений (переговорные, видеостены, ситуационные центры)</t>
  </si>
  <si>
    <t xml:space="preserve">Сайт не открывается (ошибка SSL-сертификата)</t>
  </si>
  <si>
    <t xml:space="preserve">ЦС Проект</t>
  </si>
  <si>
    <t xml:space="preserve">digis.ru</t>
  </si>
  <si>
    <t xml:space="preserve">Крупнейший российский дистрибьютор профессионального AV-оборудования и мультимедийных решений для образования, бизнеса, Hi-Fi/CI; заявляет 70+ вендоров, 9500+ товаров, 3500+ партнёров.</t>
  </si>
  <si>
    <t xml:space="preserve">Дистрибуция AV-оборудования (проекторы, экраны, ЖК-панели, LED-экраны, акустика); интерактивные доски/дисплеи для образования; проектная интеграция «под ключ»; курсы учебного центра; сервисные центры.</t>
  </si>
  <si>
    <t xml:space="preserve">Партнёрская программа («Стать партнёром»); учебный центр с курсами для партнёров; акция — бесплатный кронштейн Peerless-AV при покупке проектора Exell (до 30.09). Цен «от» и % скидок нет на сайте.</t>
  </si>
  <si>
    <t xml:space="preserve">Перенять модель учебного центра DIGIS (регулярные бесплатные курсы/вебинары по продукту для партнёров) — вовлекать AV-интеграторов через обучение работе с оборудованием Simple Touch.</t>
  </si>
  <si>
    <t xml:space="preserve">Telegram t.me/digisgroup — активно, неск. постов/день (последние \~06.08): акции на оборудование, анонсы вебинаров, обзор шоурума, новинки брендов. VK vk.com/digisgroup и Rutube есть, содержание не проверено.</t>
  </si>
  <si>
    <t xml:space="preserve">https://digis.ru/ ; https://t.me/s/digisgroup</t>
  </si>
  <si>
    <t xml:space="preserve">Это Digis — дистрибьютор, не WL-покупатель: Тип → «Дистрибьютор», роль → «Поставщик / бенчмарк партнёрки (учебный центр)»</t>
  </si>
  <si>
    <t xml:space="preserve">Astronis</t>
  </si>
  <si>
    <t xml:space="preserve">astronis.ru</t>
  </si>
  <si>
    <t xml:space="preserve">Astronis — российский ИТ-интегратор (с 2015 г.): проектирование и внедрение мультимедийных, телеком- и вычислительных систем, унифицированных коммуникаций для организаций.</t>
  </si>
  <si>
    <t xml:space="preserve">Мультимедиа для переговорных/кабинетов руководителей, видеостены, ситуационные центры, медиафасады; телеком-сети; вычислительная инфраструктура/ЦОД; унифицированные коммуникации и телефония.</t>
  </si>
  <si>
    <t xml:space="preserve">Консалтинг и разработка ТЗ; поставка оборудования и ПО; монтаж и пусконаладка; техподдержка 24/7; обучение персонала. Цен, скидок, гарантии или акций с цифрами на сайте нет.</t>
  </si>
  <si>
    <t xml:space="preserve">Перенять модель полного цикла сервиса (консалтинг → поставка → монтаж → техподдержка 24/7 → обучение) как формат комплексного пакетного предложения для крупных заказчиков Simple Touch.</t>
  </si>
  <si>
    <t xml:space="preserve">https://astronis.ru/</t>
  </si>
  <si>
    <t xml:space="preserve">Оберон</t>
  </si>
  <si>
    <t xml:space="preserve">oberon-it.ru</t>
  </si>
  <si>
    <t xml:space="preserve">Oberon — российский ИТ-интегратор с 2003 г., «экосистема цифровизации бизнеса»: инженерная инфраструктура, ЦОД, телеком, мультимедиа, ИБ, сервис.</t>
  </si>
  <si>
    <t xml:space="preserve">Мультимедийные решения (одно из направлений), инженерная инфраструктура зданий, создание/реконструкция ЦОД, телеком-решения, информационная безопасность, сервис и аутсорсинг.</t>
  </si>
  <si>
    <t xml:space="preserve">Круглосуточный сервисный центр (24/7). Цен «от», скидок, гарантии с цифрами или акций на сайте нет.</t>
  </si>
  <si>
    <t xml:space="preserve">Перенять позиционирование «сервисный центр 24/7» — предлагать гарантированную круглосуточную поддержку как часть пакета для крупных инсталляций Simple Touch.</t>
  </si>
  <si>
    <t xml:space="preserve">https://oberon-it.ru/</t>
  </si>
  <si>
    <t xml:space="preserve">Труконф</t>
  </si>
  <si>
    <t xml:space="preserve">Вендор</t>
  </si>
  <si>
    <t xml:space="preserve">trueconf.ru</t>
  </si>
  <si>
    <t xml:space="preserve">Труконф — российский вендор ВКС-платформы и корпоративного мессенджера (звонки, чаты, конференции до 2000 участников) для бизнеса и госсектора; акцент на импортонезависимость.</t>
  </si>
  <si>
    <t xml:space="preserve">TrueConf Server Free/Server/Enterprise, корпоративный мессенджер, TrueConf Group/Room (терминалы), TrueConf Coordinator, мобильные и десктоп-приложения</t>
  </si>
  <si>
    <t xml:space="preserve">TrueConf Server Free — бесплатно до 300 польз., UltraHD-конференции до 10 участников; бесплатная миграция с Telegram; пробная версия по запросу; демо для Enterprise по записи. Точные цены на сайте не опубликованы (раздел «Цены» — по запросу).</t>
  </si>
  <si>
    <t xml:space="preserve">Freemium-заход: бесплатный базовый продукт как лид-магнит с апсейлом на платный тариф — применить для лидогенерации (бесплатный демо-пакет/калькулятор на сайте Simple Touch)</t>
  </si>
  <si>
    <t xml:space="preserve">Telegram t.me/true\_trueconf — \~1-2 поста/день, последний 13.09.2026: road-show/демо-туры, продуктовые фичи, выставки (LEAP, InfoComm India). Есть VK vk.com/trueconf\_club и RuTube — не детализировано (VK заблокирован для проверки)</t>
  </si>
  <si>
    <t xml:space="preserve">Технологический партнёр</t>
  </si>
  <si>
    <t xml:space="preserve">A</t>
  </si>
  <si>
    <t xml:space="preserve">Подать заявку в партнёрскую программу TrueConf на этой неделе</t>
  </si>
  <si>
    <t xml:space="preserve">https://trueconf.ru/ ; https://t.me/s/true\_trueconf</t>
  </si>
  <si>
    <t xml:space="preserve">Открыть VK/Telegram вручную: дата последнего поста, частота, 2–3 темы</t>
  </si>
  <si>
    <t xml:space="preserve">Vkorpe</t>
  </si>
  <si>
    <t xml:space="preserve">vkorpe.ru</t>
  </si>
  <si>
    <t xml:space="preserve">Vkorpe — российский системный интегратор (СПб/Москва, 10 лет на рынке): проектирование и внедрение ИТ-решений, автоматизация бизнеса, работа с госконтрактами.</t>
  </si>
  <si>
    <t xml:space="preserve">Поставка ИТ-инфраструктуры и оборудования; разработка и внедрение ПО (в т.ч. импортозамещение); аудит сетевой безопасности; развёртывание Wi-Fi и радиообследование; решения для переговорных, аудиторий, складов, производств, ритейла, образования.</t>
  </si>
  <si>
    <t xml:space="preserve">Конкретных цен «от», скидок, гарантии или акций на сайте нет.</t>
  </si>
  <si>
    <t xml:space="preserve">Явной применимой идеи с сайта нет; заявленный масштаб (1000+ госконтрактов, 4000+ клиентов, 54 партнёра) интересен как потенциальный партнёрский канал, а не как техника для копирования.</t>
  </si>
  <si>
    <t xml:space="preserve">VK vk.com/vkorpe — содержание не проверено (VK не открывается инструментом проверки).</t>
  </si>
  <si>
    <t xml:space="preserve">АБАК-2000</t>
  </si>
  <si>
    <t xml:space="preserve">abak2000.ru</t>
  </si>
  <si>
    <t xml:space="preserve">АБАК-2000 — федеральный системный интегратор (Москва/Волгоград): создание, развитие и обслуживание ИТ-инфраструктуры предприятий.</t>
  </si>
  <si>
    <t xml:space="preserve">ИТ-инфраструктура (сети, виртуализация, облака, Wi-Fi); комплексные системы безопасности (видеонаблюдение, СКУД, досмотр); АСУ ТП; информационная безопасность; АВ и конференц-решения (видеостены, ситуационные центры); ЦОД; собственные продукты (CowWatch и др.).</t>
  </si>
  <si>
    <t xml:space="preserve">Нет прямой применимой идеи для продукта; можно перенять формат регулярных кейс-постов в Telegram (истории внедрений с цифрами эффекта) для продвижения Simple Touch.</t>
  </si>
  <si>
    <t xml:space="preserve">Telegram @abak2000 — последние найденные посты датированы январём 2026, примерно раз в 1-2 дня: сертификации сотрудников, интервью руководства, агротех-кейсы, проекты по инфраструктуре и безопасности. VK, Rutube, Dzen тоже есть, не детализированы.</t>
  </si>
  <si>
    <t xml:space="preserve">https://abak2000.ru/ ; https://t.me/s/abak2000</t>
  </si>
  <si>
    <t xml:space="preserve">ИЦ Телеком-Сервис</t>
  </si>
  <si>
    <t xml:space="preserve">teleserv.ru</t>
  </si>
  <si>
    <t xml:space="preserve">ИЦ Телеком-Сервис — российский ИТ-интегратор («искусство интеграции»): проектирование, внедрение и обслуживание комплексных ИТ-систем.</t>
  </si>
  <si>
    <t xml:space="preserve">Инженерная инфраструктура (СКС, охлаждение, ИБП); сетевая инфраструктура и виртуализация; АВ и мультимедиа (переговорные, видеостены, диспетчерские); техническая и информационная безопасность (СКУД, видеонаблюдение); унифицированные коммуникации; обслуживание ИТ-инфраструктуры.</t>
  </si>
  <si>
    <t xml:space="preserve">Кнопка «Заявка на проект»; типы сервисных пакетов упоминаются без деталей. Цен «от», скидок, гарантии или акций с цифрами на сайте нет.</t>
  </si>
  <si>
    <t xml:space="preserve">Перенять формат кейс-постов в Telegram с конкретными реализованными АВ-проектами (например, оснащение отеля) — публиковать похожие истории внедрений Simple Touch.</t>
  </si>
  <si>
    <t xml:space="preserve">Telegram t.me/ic\_telecom\_service — активен, регулярные посты: импортозамещение (Astra Linux, RED OS), партнёрства (Ideco NGFW), кейсы АВ-проектов (например, отель «Эрбелия от Васта»). VK в футере есть, не детализирован.</t>
  </si>
  <si>
    <t xml:space="preserve">https://teleserv.ru/ ; https://t.me/s/ic\_telecom\_service</t>
  </si>
  <si>
    <t xml:space="preserve">Profdisplay</t>
  </si>
  <si>
    <t xml:space="preserve">profdisplays.ru</t>
  </si>
  <si>
    <t xml:space="preserve">PROFDISPLAY — московский дистрибьютор профессионального AV-оборудования: дисплеи, LED-решения, звук, коммутация.</t>
  </si>
  <si>
    <t xml:space="preserve">Информационные LCD/LED-дисплеи, интерактивные панели, видеостены, LED-экраны и модули, акустика/усилители/микшеры, оборудование коммутации и передачи сигнала (удлинители, масштабаторы).</t>
  </si>
  <si>
    <t xml:space="preserve">Рекомендованная розничная цена на товарах; прайс-лист для партнёров; акция — бесплатный сплит-кондиционер при заказе кабинетного LED от 2 000 000 ₽ (до 30.09.2026).</t>
  </si>
  <si>
    <t xml:space="preserve">Перенять акцию «подарок к крупному заказу» (аналог бесплатного кондиционера у Profdisplay) — например, бесплатная доставка/монтаж или доп. оборудование при заказе экрана/киоска Simple Touch от определённой суммы.</t>
  </si>
  <si>
    <t xml:space="preserve">Telegram t.me/profdisplays — активен, посты несколько раз в неделю (последние \~конец июля): поступления оборудования (BOE, Hisense), кейсы инсталляций, отраслевые события (InfoComm Asia, ЧМ по футболу/Hisense VAR).</t>
  </si>
  <si>
    <t xml:space="preserve">Поставщик + конкурент в интерактивных панелях</t>
  </si>
  <si>
    <t xml:space="preserve">https://profdisplays.ru/ ; https://t.me/s/profdisplays</t>
  </si>
  <si>
    <t xml:space="preserve">ASCREEN</t>
  </si>
  <si>
    <t xml:space="preserve">Музей, развлечения</t>
  </si>
  <si>
    <t xml:space="preserve">ascreen.ru</t>
  </si>
  <si>
    <t xml:space="preserve">Ascreen — компания мультимедийных решений на стыке креатива и AV/архитектурных технологий: музейные и корпоративные экспозиции, выставочные стенды, интерьеры; на рынке более 25 лет.</t>
  </si>
  <si>
    <t xml:space="preserve">АВ-интеграция, музейные и корпоративные экспозиции, выставочные стенды, мультимедийные инсталляции, дизайн бизнес-пространств, архитектурно-инженерные решения</t>
  </si>
  <si>
    <t xml:space="preserve">Нет на сайте: цены, скидки, гарантии, акции, партнёрская программа не опубликованы — предложение только индивидуально через менеджера</t>
  </si>
  <si>
    <t xml:space="preserve">У Ascreen нет открытых цен/акций — выигрышный ход для Simple Touch: публиковать цены «от» на типовые интерактивные продукты, чего у конкурента нет</t>
  </si>
  <si>
    <t xml:space="preserve">Telegram t.me/ascreengroup — \~1-2 поста/неделю, последний 08.04.2026 (давно не обновлялся): кейсы и портфолио музейных проектов, отраслевые события, премии (ProIntegration Awards). Также VK vk.com/ascreen и RuTube — не детализировано</t>
  </si>
  <si>
    <t xml:space="preserve">Прямой конкурент (интерактив)</t>
  </si>
  <si>
    <t xml:space="preserve">A (мониторинг)</t>
  </si>
  <si>
    <t xml:space="preserve">Тайный покупатель: КП на сенсорный стол и киоск для музея</t>
  </si>
  <si>
    <t xml:space="preserve">https://ascreen.ru/ ; https://t.me/s/ascreengroup</t>
  </si>
  <si>
    <t xml:space="preserve">ГИГАНТ</t>
  </si>
  <si>
    <t xml:space="preserve">gigant.ru</t>
  </si>
  <si>
    <t xml:space="preserve">ГИГАНТ — российский ИТ-интегратор (15 лет на рынке, 180+ инженеров, 3000+ проектов): комплексные ИТ- и мультимедийные решения «под ключ».</t>
  </si>
  <si>
    <t xml:space="preserve">Инженерная инфраструктура ЦОД; мультимедиа (ВКС, АВ-системы, интерактивные дисплеи); печатная техника (МФУ); корпоративное ПО и облака; клиентские устройства; ИТ-аутсорсинг и кибербезопасность; серверы/виртуализация/сети.</t>
  </si>
  <si>
    <t xml:space="preserve">Распродажа «сотни товаров по спецценам» (до 31.10); партнёрство с 250+ производителями оборудования и ПО; решения «под ключ». Конкретных цен «от» или % скидок не указано.</t>
  </si>
  <si>
    <t xml:space="preserve">Перенять идею сезонной распродажи «сотни товаров по спецценам» с ограниченным сроком — периодические акции на складские остатки экранов/киосков Simple Touch.</t>
  </si>
  <si>
    <t xml:space="preserve">Telegram t.me/gigant\_computer\_systems — низкая частота (последние посты \~осень 2025, примерно раз в 2-4 недели): рейтинги (CNews500, TAdviser500), темы ИИ/данных, юбилей компании, отечественное железо. VK, Rutube, Dzen тоже есть, не детализированы.</t>
  </si>
  <si>
    <t xml:space="preserve">https://gigant.ru/ ; https://t.me/s/gigant\_computer\_systems</t>
  </si>
  <si>
    <t xml:space="preserve">Хайтэк-Интеграция</t>
  </si>
  <si>
    <t xml:space="preserve">hi-tech.org</t>
  </si>
  <si>
    <t xml:space="preserve">Хайтэк-Интеграция — московский системный интегратор: комплексные услуги цифровой трансформации для организаций.</t>
  </si>
  <si>
    <t xml:space="preserve">ИТ-инфраструктура; решения Индустрии 4.0 (IIoT); контакт-центры; сети и телеком; информационная безопасность; мультимедиа (АВ-системы, ВКС); инженерные и технические системы безопасности.</t>
  </si>
  <si>
    <t xml:space="preserve">Прайс-лист доступен по ссылке на Яндекс.Диск (условия не видны); активная партнёрская программа (упомянуты партнёрства с BFG Group, Wellink НТЦ и др.), детали не раскрыты. Цен «от», скидок или гарантии с цифрами на сайте нет.</t>
  </si>
  <si>
    <t xml:space="preserve">Нет явной применимой идеи с сайта — можно отметить открытость к анонсам новых партнёрств в публичном поле как формат для Simple Touch.</t>
  </si>
  <si>
    <t xml:space="preserve">https://hi-tech.org/</t>
  </si>
  <si>
    <t xml:space="preserve">Видау Системс</t>
  </si>
  <si>
    <t xml:space="preserve">Бродкаст</t>
  </si>
  <si>
    <t xml:space="preserve">vidau.tv</t>
  </si>
  <si>
    <t xml:space="preserve">Оборудование и интеграция для ТВ, студий и видеопроизводства</t>
  </si>
  <si>
    <t xml:space="preserve">Студийное, вещательное и видеооборудование</t>
  </si>
  <si>
    <t xml:space="preserve">Оснащение студий под ключ</t>
  </si>
  <si>
    <t xml:space="preserve">Не приоритет; как идея — «студия для корпоративного видео» в линейке ВКС</t>
  </si>
  <si>
    <t xml:space="preserve">Низкая релевантность</t>
  </si>
  <si>
    <t xml:space="preserve">Не тратить время сейчас</t>
  </si>
  <si>
    <t xml:space="preserve">Сайт не открывается (соединение не устанавливается — проверено через WebFetch и браузер)</t>
  </si>
  <si>
    <t xml:space="preserve">Джаз Телеком</t>
  </si>
  <si>
    <t xml:space="preserve">voip-shop.ru</t>
  </si>
  <si>
    <t xml:space="preserve">Джаз Телеком (VoIP Shop) — российский поставщик телеком- и IP-оборудования: связь, ВКС, конференц-системы, дисплеи.</t>
  </si>
  <si>
    <t xml:space="preserve">IP-телефоны, IP-АТС; оборудование ВКС (терминалы, серверы, камеры); конференц-системы (микрофоны, аудиопроцессоры); дисплейные системы (интерактивные панели, видеостены, проекторы); коммутация AV-сигнала; гарнитуры; GSM-шлюзы; сетевое оборудование.</t>
  </si>
  <si>
    <t xml:space="preserve">Розничные цены на отдельные товары указаны (например, гарнитуры Jabra \~39-60 тыс. ₽); пакетных предложений, скидок, гарантии или акций не найдено.</t>
  </si>
  <si>
    <t xml:space="preserve">Нет на сайте — явной применимой идеи не найдено.</t>
  </si>
  <si>
    <t xml:space="preserve">Поставщик ВКС</t>
  </si>
  <si>
    <t xml:space="preserve">https://voip-shop.ru/</t>
  </si>
  <si>
    <t xml:space="preserve">ЭЙЧДИ</t>
  </si>
  <si>
    <t xml:space="preserve">Светодиодка</t>
  </si>
  <si>
    <t xml:space="preserve">hdlt.ru</t>
  </si>
  <si>
    <t xml:space="preserve">HD LED Tech (ЭЙЧДИ) — производитель светодиодных экранов: «изготовление, продажа и установка светодиодных экранов в России и СНГ», позиционирует себя как продавец «по низким ценам от производителя».</t>
  </si>
  <si>
    <t xml:space="preserve">Медиафасады, уличные видеоэкраны, экраны для помещений, прозрачные экраны, COB/GOB-экраны, гибкие видеоэкраны</t>
  </si>
  <si>
    <t xml:space="preserve">Нет на сайте: точных цен «от» и % скидок нет; есть акции без цифр («Осенний ценопад», «2 недели суперцен»); расчёт стоимости только по заявке. Партнёрская программа для дилеров на сайте не представлена</t>
  </si>
  <si>
    <t xml:space="preserve">Публиковать открытую цену за м² на ходовые LED-модели (у HDLT цены закрыты даже в акциях) — конкурентное преимущество Simple Touch в прозрачности КП</t>
  </si>
  <si>
    <t xml:space="preserve">Telegram t.me/hdlt\_ru — активный, \~1-2 поста/день: технические характеристики экранов, командная работа/производство, кейсы медиафасадов. Также VK vk.com/hd\_led\_tech, RuTube, Дзен dzen.ru/hdlt — не детализировано</t>
  </si>
  <si>
    <t xml:space="preserve">Прямой конкурент №1 в LED (Москва, своё производство)</t>
  </si>
  <si>
    <t xml:space="preserve">Тайный покупатель: запросить КП на экран 3×2 м indoor и 6×3 м outdoor — сравнить цену, сроки, гарантию, подачу КП</t>
  </si>
  <si>
    <t xml:space="preserve">https://hdlt.ru/ ; https://t.me/s/hdlt\_ru</t>
  </si>
  <si>
    <t xml:space="preserve">На сайте цен нет (цены видны только в карточке на Яндекс Картах) — перепроверить и держать в бенчмарке</t>
  </si>
  <si>
    <t xml:space="preserve">ТЕХНОМЕДИА ГРУПП</t>
  </si>
  <si>
    <t xml:space="preserve">tmgroup.ru</t>
  </si>
  <si>
    <t xml:space="preserve">Техномедиа Групп — российский системный интегратор аудиовизуальных комплексов и мультимедийных решений для крупного бизнеса.</t>
  </si>
  <si>
    <t xml:space="preserve">Технический аудит и бюджетирование, проектирование АВ-систем, монтаж, эксплуатация и техподдержка, диспетчерские/ситуационные центры, переговорные и конференц-залы</t>
  </si>
  <si>
    <t xml:space="preserve">Нет на сайте: цены, скидки, сроки гарантии, стоимость выезда/демо не опубликованы — только форма консультации</t>
  </si>
  <si>
    <t xml:space="preserve">Нет соцсетей и открытых офферов — предложить бенчмарк: у Simple Touch фикс-цены и сроки на типовые пакеты «переговорная S/M/L», это выделит на их фоне</t>
  </si>
  <si>
    <t xml:space="preserve">Региональный партнёр/дилер: WL-производство + дилерская цена</t>
  </si>
  <si>
    <t xml:space="preserve">https://tmgroup.ru/</t>
  </si>
  <si>
    <t xml:space="preserve">Д2 Групп</t>
  </si>
  <si>
    <t xml:space="preserve">d2group.ru</t>
  </si>
  <si>
    <t xml:space="preserve">Д2 Групп — «динамично развивающаяся группа компаний, одна из ведущих российских в области комплексных AV-решений и IT-проектов»: интегратор и поставщик оборудования.</t>
  </si>
  <si>
    <t xml:space="preserve">AV-оборудование (проекторы, видеопроцессоры, акустика, LCD/LED-панели), IT-оборудование и СХД, конференц-залы и ситуационные центры, ВКС, сервис и аренда оборудования</t>
  </si>
  <si>
    <t xml:space="preserve">Нет на сайте: цены «от», скидки, гарантия, бесплатный демо не опубликованы. Есть раздел «Партнёры» (d2group.ru/company/partners), но без конкретных условий — только список 40+ брендов-поставщиков</t>
  </si>
  <si>
    <t xml:space="preserve">У Д2 партнёрский раздел есть, но без конкретики — показать выгодное отличие: у Simple Touch прозрачные условия WL-производства и дилерские цены сразу на сайте</t>
  </si>
  <si>
    <t xml:space="preserve">https://d2group.ru/ ; https://d2group.ru/company/partners</t>
  </si>
  <si>
    <t xml:space="preserve">Visuals</t>
  </si>
  <si>
    <t xml:space="preserve">visuals.ru</t>
  </si>
  <si>
    <t xml:space="preserve">Visuals — студия мультимедийных решений для музеев, выставок и развлекательных пространств: «комплексная реализация проектов, в которых мультимедиа играет ключевую роль».</t>
  </si>
  <si>
    <t xml:space="preserve">Интерактивные музеи и выставочные стенды, VR/AR-приложения, мультимедийные парки развлечений, 3D-видеомэппинг и LED-инсталляции, шоурумы и корпоративные музеи</t>
  </si>
  <si>
    <t xml:space="preserve">Нет на сайте: цены, гарантии, демо не опубликованы — предложение только через форму «Обсудить проект» или презентацию</t>
  </si>
  <si>
    <t xml:space="preserve">Сильное портфолио (Музей русского импрессионизма, музей оружия в Туле, выставка «Пётр I», Транснефть) без открытых цен — предложить связку: они контент/концепция, Simple Touch — производство корпусов/киосков/LED под их проекты</t>
  </si>
  <si>
    <t xml:space="preserve">YouTube youtube.com/channel/UC920C01Popu3yBd72B8MZ0g (активность не детализирована), также Vimeo vimeo.com/user12144796 и Behance behance.net/visuals\_. Telegram/VK/Дзен/Rutube на сайте не найдены</t>
  </si>
  <si>
    <t xml:space="preserve">Конкурент в музеях + партнёр (у них контент, у нас производство)</t>
  </si>
  <si>
    <t xml:space="preserve">Предложить связку: они — концепция и контент, Simple Touch — корпуса, киоски, LED, МАФ, стенды</t>
  </si>
  <si>
    <t xml:space="preserve">https://visuals.ru/</t>
  </si>
  <si>
    <t xml:space="preserve">П10</t>
  </si>
  <si>
    <t xml:space="preserve">p10.ru</t>
  </si>
  <si>
    <t xml:space="preserve">П10 (P10.RU) — дистрибьютор комплектующих для LED-экранов с прямым импортом из Китая; более 10 лет на рынке, также продаёт готовые экраны и оказывает сервис/ремонт.</t>
  </si>
  <si>
    <t xml:space="preserve">LED-модули, видеопроцессоры/контроллеры (Novastar, Colorlight, Huidu, Linsn, VDWALL), блоки питания, алюминиевые кабинеты, готовые экраны (indoor/outdoor/прозрачные/прокатные), сервис-центр</t>
  </si>
  <si>
    <t xml:space="preserve">Более 3 млн позиций на складе в Москве, доставка в день заказа, самовывоз. Точных цен «от» за м², сроков гарантии, рассрочки/лизинга и калькулятора стоимости на сайте не найдено</t>
  </si>
  <si>
    <t xml:space="preserve">У П10 нет калькулятора цены — Simple Touch может выигрывать наглядным онлайн-калькулятором стоимости экрана как инструментом лидогенерации</t>
  </si>
  <si>
    <t xml:space="preserve">Соцсетей на сайте нет (только сторонняя ссылка на видео Rutube, не официальный канал)</t>
  </si>
  <si>
    <t xml:space="preserve">Прямой конкурент</t>
  </si>
  <si>
    <t xml:space="preserve">https://p10.ru/</t>
  </si>
  <si>
    <t xml:space="preserve">Анкомп</t>
  </si>
  <si>
    <t xml:space="preserve">ancomp.ru</t>
  </si>
  <si>
    <t xml:space="preserve">Ancomp — производитель мультимедийного и IT-оборудования и системный интегратор: оснащение «под ключ» переговорных, образовательных и офисных пространств.</t>
  </si>
  <si>
    <t xml:space="preserve">Интерактивные панели (собственная линейка AnTouch), LED-экраны (indoor/outdoor/прокат), ВКС и системы управления, проекционное и световое оборудование, компьютерная техника, серверы/СХД</t>
  </si>
  <si>
    <t xml:space="preserve">На сайте: чёткое соблюдение гарантийных обязательств, гибкие условия постгарантийного обслуживания, 10 000+ единиц техники/год, 50+ AV/IT-проектов/год, 60+ сертифицированных специалистов. Точных цен, % скидок, сроков гарантии не опубликовано</t>
  </si>
  <si>
    <t xml:space="preserve">У Ancomp своя линейка интерактивных панелей (AnTouch) — прямая конкуренция в интерактиве; стоит следить за их продуктовыми анонсами в Telegram и сравнивать цены</t>
  </si>
  <si>
    <t xml:space="preserve">Telegram t.me/ancomp\_official — активный, \~2-3 поста/неделю, последний 06.08.2026: новинки оборудования (AnTouch G4, моноблоки), решения для образования, отраслевая аналитика. Также VK vk.com/ancompru, YouTube, Дзен dzen.ru/ancomp</t>
  </si>
  <si>
    <t xml:space="preserve">Конкурент в ВКС и интерактивных панелях + потенциальный WL-партнёр</t>
  </si>
  <si>
    <t xml:space="preserve">Тайный покупатель: КП на переговорную на 12 мест с ВКС + запросить цену на интерактивную панель AnTouch</t>
  </si>
  <si>
    <t xml:space="preserve">https://ancomp.ru/ ; https://t.me/s/ancomp\_official</t>
  </si>
  <si>
    <t xml:space="preserve">Видео ЛЕНД</t>
  </si>
  <si>
    <t xml:space="preserve">Прокат/Эвенты</t>
  </si>
  <si>
    <t xml:space="preserve">videoland-pro.ru</t>
  </si>
  <si>
    <t xml:space="preserve">Прокат и техническое обеспечение мероприятий</t>
  </si>
  <si>
    <t xml:space="preserve">LED-экраны, проекция, звук, свет в аренду</t>
  </si>
  <si>
    <t xml:space="preserve">Аренда с монтажом и техподдержкой на площадке</t>
  </si>
  <si>
    <t xml:space="preserve">Опция «аренда LED с выкупом» для клиентов, которые не готовы платить сразу</t>
  </si>
  <si>
    <t xml:space="preserve">Покупатель LED-экранов / кейс-партнёр</t>
  </si>
  <si>
    <t xml:space="preserve">Предложить поставку прокатных LED-кабинетов с завода в Шанхае</t>
  </si>
  <si>
    <t xml:space="preserve">Сайт не открывается (таймаут соединения / DNS, проверено через WebFetch и браузер)</t>
  </si>
  <si>
    <t xml:space="preserve">ДИЛ</t>
  </si>
  <si>
    <t xml:space="preserve">dil-it.ru</t>
  </si>
  <si>
    <t xml:space="preserve">ООО «ДИЛ» — ИТ-компания (Екатеринбург) с 20+ лет опыта: проектирование, поставка, внедрение и обслуживание систем автоматизации бизнеса, включая AV-интеграцию.</t>
  </si>
  <si>
    <t xml:space="preserve">AV-интеграция для переговорных/залов принятия решений/обучения, IT-безопасность, аудиты инфраструктуры, сетевые решения, отказоустойчивая ИТ-инфраструктура</t>
  </si>
  <si>
    <t xml:space="preserve">Нет на сайте: цены, скидки, гарантия, бесплатный выезд/демо, партнёрская программа не опубликованы</t>
  </si>
  <si>
    <t xml:space="preserve">Нет соцсетей и открытых офферов — предложить типовой пакет «переговорная S/M/L» с фикс-ценой как понятную точку входа для региона</t>
  </si>
  <si>
    <t xml:space="preserve">https://dil-it.ru/</t>
  </si>
  <si>
    <t xml:space="preserve">ГК Спутник</t>
  </si>
  <si>
    <t xml:space="preserve">gksputnik.ru</t>
  </si>
  <si>
    <t xml:space="preserve">ГК Спутник — московский интегратор: разработка и внедрение корпоративных решений и инженерных систем «под ключ».</t>
  </si>
  <si>
    <t xml:space="preserve">Инфраструктурные решения (доступность, надёжность, безопасность); мультимедийные решения (дизайн, архитектура «умных» объектов); информационная безопасность; заказная разработка ПО.</t>
  </si>
  <si>
    <t xml:space="preserve">https://gksputnik.ru/</t>
  </si>
  <si>
    <t xml:space="preserve">ПК Аллегри</t>
  </si>
  <si>
    <t xml:space="preserve">allegri-group.ru</t>
  </si>
  <si>
    <t xml:space="preserve">ПК Аллегри — производитель кастомных крепёжных и конструктивных решений для профессионального мультимедиа/АВ-оборудования (Подольск).</t>
  </si>
  <si>
    <t xml:space="preserve">Каркасы LED-экранов и видеостен, кронштейны для ТВ/ЖК-панелей, телеком-стойки и шкафы, моторизованные крепления, стойки для ВКС, крепления для акустики и проекторов, подставки для интерактивных панелей, flight-кейсы, мебель под заказ.</t>
  </si>
  <si>
    <t xml:space="preserve">Изготовление от 1 дня; работа по чертежам заказчика; инженерное проектирование; бесплатные консультации. Цен «от», скидок или гарантии с цифрами на сайте нет.</t>
  </si>
  <si>
    <t xml:space="preserve">Потенциальный поставщик кастомных креплений/стоек для экранов и киосков Simple Touch — рассмотреть как субподрядчика по механическим конструкциям вместо собственного производства крепежа.</t>
  </si>
  <si>
    <t xml:space="preserve">Telegram t.me/allegri\_group — низкая частота (последние посты \~февраль 2026): участие в выставке ARTDOM, дизайнерские инсталляции с LED и мультимедиа (SENSE SENSORY, BETTE &amp; SPLENDY).</t>
  </si>
  <si>
    <t xml:space="preserve">Потенциальный технологический партнёр</t>
  </si>
  <si>
    <t xml:space="preserve">Изучить партнёрские условия на сайте</t>
  </si>
  <si>
    <t xml:space="preserve">https://allegri-group.ru/ ; https://t.me/s/allegri\_group</t>
  </si>
  <si>
    <t xml:space="preserve">ICL SERVICES</t>
  </si>
  <si>
    <t xml:space="preserve">icl-services.com</t>
  </si>
  <si>
    <t xml:space="preserve">ICL Services — крупный российский ИТ-интегратор (20 лет): полный цикл цифровых решений от аудита до внедрения и поддержки.</t>
  </si>
  <si>
    <t xml:space="preserve">Информационная безопасность (аудит, пентесты, SOC 24/7, DLP); заказная разработка (RPA, BI); ИИ (computer vision, LLM-агенты); интеграция инфраструктуры и облака; ИТ-аутсорсинг; инженерный центр (ЦОД); поставка оборудования; продукты Kolibri-ARM, AISee и др.</t>
  </si>
  <si>
    <t xml:space="preserve">DLP-аутсорсинг «0 рублей на старте» с бесплатным 30-дневным тестом; бесплатный аудит 1С (14 дней); бесплатная ИИ-диагностика готовности (до 30.09.2026); бесплатное тестирование Kolibri-ARM (экономия до 87% трудозатрат); ПАК EVO Lite от 98 600 ₽.</t>
  </si>
  <si>
    <t xml:space="preserve">Перенять модель «бесплатный тест/аудит с ограниченным сроком + конкретная цифра экономии» — например, бесплатная диагностика цифровой инфраструктуры клиента с расчётом потенциальной выгоды от внедрения решений Simple Touch.</t>
  </si>
  <si>
    <t xml:space="preserve">Telegram t.me/ICL\_Services — активен, частые посты (последние \~24.09.2026): участие в отраслевых форумах (ритейл, ИТОПК), темы ИИ на рынке РФ, ИТ-инфраструктура (SD-WAN). Также VK, Dzen, Rutube, YouTube, LinkedIn.</t>
  </si>
  <si>
    <t xml:space="preserve">https://icl-services.com/ ; https://t.me/s/ICL\_Services</t>
  </si>
  <si>
    <t xml:space="preserve">Лемьер</t>
  </si>
  <si>
    <t xml:space="preserve">lemier.ru</t>
  </si>
  <si>
    <t xml:space="preserve">Lemier — «решения для людей и бизнеса»: комплексные IT-инфраструктура, аудиовизуальные и инженерные решения, «умный офис» под ключ.</t>
  </si>
  <si>
    <t xml:space="preserve">IT-инфраструктура, аудиовизуальные решения, инженерные решения, «умный офис», дизайн-услуги, сервисное обслуживание</t>
  </si>
  <si>
    <t xml:space="preserve">Нет соцсетей и открытых офферов — предложить типовой пакет «переговорная S/M/L» с фикс-ценой и сроком как понятную точку входа</t>
  </si>
  <si>
    <t xml:space="preserve">https://lemier.ru/</t>
  </si>
  <si>
    <t xml:space="preserve">Брюллов Консалтинг</t>
  </si>
  <si>
    <t xml:space="preserve">brullov.com</t>
  </si>
  <si>
    <t xml:space="preserve">Брюллов Консалтинг — поставщик и разработчик мультимедийных решений (с 2006 г.): оснащение переговорных и профессиональных пространств АВ-оборудованием.</t>
  </si>
  <si>
    <t xml:space="preserve">Конференц-системы и синхронный перевод; микрофоны/радиосистемы; звукоусиление; BYOD-коллаборация; конференц-камеры; видеокоммутация; дисплейные системы; запись/стриминг; системы управления; digital signage/IPTV; бренды RMS, Televic, Fohhn и др.</t>
  </si>
  <si>
    <t xml:space="preserve">Прайс-лист и каталог для скачивания; онлайн-конфигуратор для самостоятельного проектирования системы; заказ проекта под ключ; гарантия и возврат (детали на странице поддержки).</t>
  </si>
  <si>
    <t xml:space="preserve">Перенять идею онлайн-конфигуратора для самостоятельного подбора комплектации — сделать похожий инструмент для конфигурации интерактивных панелей/киосков Simple Touch под задачи клиента.</t>
  </si>
  <si>
    <t xml:space="preserve">VK vk.com/BrullovConsulting, Rutube rutube.ru/channel/25551303 — содержание не проверено детально.</t>
  </si>
  <si>
    <t xml:space="preserve">https://brullov.com/</t>
  </si>
  <si>
    <t xml:space="preserve">Электронные Системы</t>
  </si>
  <si>
    <t xml:space="preserve">gtlamp.ru</t>
  </si>
  <si>
    <t xml:space="preserve">GTLight (Электронные Системы, gtlamp.ru) — производитель LED-экранов и медиафасадов с собственным производством в РФ; работает с 1999 г., более 37 000 реализованных проектов.</t>
  </si>
  <si>
    <t xml:space="preserve">Медиафасады (реечные/модульные/сетчатые/прозрачные), уличные LED-экраны (билборды, бегущие строки), интерьерные экраны для залов/сцен/ритейла, спортивные табло и видеокубы, монтаж, аренда экранов</t>
  </si>
  <si>
    <t xml:space="preserve">Цены от 14 000₽ (бегущая строка), от 47 000₽/м² (медиафасады), от 65 000₽/м² (уличные экраны); гарантия 1-5 лет в зависимости от оборудования; производство от 7 дней (300 м²/неделю); интерактивный калькулятор стоимости на сайте</t>
  </si>
  <si>
    <t xml:space="preserve">У GTLight открытые цены за м² и онлайн-калькулятор с вводом размеров — сильный бенчмарк: Simple Touch стоит внедрить аналогичный калькулятор с ценой «от» на сайте</t>
  </si>
  <si>
    <t xml:space="preserve">Telegram t.me/gtlamp\_ru — НЕ активен, последний пост 11.11.2024 (почти 2 года назад): экраны для школ/колледжей, госучреждений, технические характеристики. Также VK, YouTube, Дзен, RuTube — не детализированы</t>
  </si>
  <si>
    <t xml:space="preserve">https://gtlamp.ru/ ; https://t.me/s/gtlamp\_ru</t>
  </si>
  <si>
    <t xml:space="preserve">Future Vision</t>
  </si>
  <si>
    <t xml:space="preserve">future-vision.ru</t>
  </si>
  <si>
    <t xml:space="preserve">Екатеринбург</t>
  </si>
  <si>
    <t xml:space="preserve">Future Vision (ООО «Компэлс Интеграция») — производитель LED-экранов и медиафасадов с собственным заводом (Екатеринбург/Москва), работает по всей РФ; экраны включены в реестр Минпромторга (СТ-1).</t>
  </si>
  <si>
    <t xml:space="preserve">Медиафасады, уличные экраны, экраны для сцены/кинотеатров/стадионов/ТРЦ/конференц-залов, прозрачные и гибкие экраны, 3D-экраны, видеокубы, текстурные экраны</t>
  </si>
  <si>
    <t xml:space="preserve">Индивидуальный подход, «гибкая система скидок», расширенная гарантия и сервис от производителя, бесплатная консультация; онлайн-калькулятор цены по типу/размеру/шагу пикселя. Точных цифр цен «от» на сайте не указано</t>
  </si>
  <si>
    <t xml:space="preserve">У Future Vision — полноценный личный кабинет дилера (логин/регистрация на сайте) с реестром Минпромторга как аргумент для гостендеров — Simple Touch стоит рассмотреть отдельный дилерский портал и статус в реестре Минпромторга</t>
  </si>
  <si>
    <t xml:space="preserve">Telegram @futurevisionled, VK и YouTube в подвале сайта — содержание не детализировано (не проверено вручную)</t>
  </si>
  <si>
    <t xml:space="preserve">https://future-vision.ru/ ; https://future-vision.ru/dealers/</t>
  </si>
  <si>
    <t xml:space="preserve">ОПЕН ВИЖН</t>
  </si>
  <si>
    <t xml:space="preserve">open-vision.ru</t>
  </si>
  <si>
    <t xml:space="preserve">Open Vision — московский системный интегратор: поставка ИТ-оборудования, комплексные инфраструктурные проекты, техподдержка по всей России.</t>
  </si>
  <si>
    <t xml:space="preserve">Унифицированные коммуникации и ВКС; серверные решения (виртуализация, облака, ЦОД); телемедицина; АВ и мультимедиа; внедрение бизнес-ПО; информационная безопасность; LED-экраны и видеостены; СХД; межсетевые экраны/защита от DDoS.</t>
  </si>
  <si>
    <t xml:space="preserve">Бесплатное 30-дневное тестирование сервера ВКС Vinteo; спецусловия на серверы из реестра Минпромторга (доставка 3-7 дней); скидка при полном заполнении формы заявки; безналичная оплата.</t>
  </si>
  <si>
    <t xml:space="preserve">Перенять идею бесплатного 30-дневного тест-драйва оборудования (по аналогии с Vinteo) — предлагать пробную установку интерактивной панели/киоска Simple Touch на 30 дней перед покупкой.</t>
  </si>
  <si>
    <t xml:space="preserve">VK и Twitter указаны, ссылки/содержание не проверены детально. Telegram/YouTube/Dzen/Rutube на сайте нет.</t>
  </si>
  <si>
    <t xml:space="preserve">https://open-vision.ru/</t>
  </si>
  <si>
    <t xml:space="preserve">ВИНТЕО</t>
  </si>
  <si>
    <t xml:space="preserve">vinteo.ru</t>
  </si>
  <si>
    <t xml:space="preserve">VINTEO — российский разработчик премиум-решений для видеоконференцсвязи (ВКС), on-premise серверы, \&gt;12 лет разработок, 500+ проектов.</t>
  </si>
  <si>
    <t xml:space="preserve">Сервер ВКС VINTEO (стандарт Telepresence); клиенты Windows/macOS/Linux/Android/iOS/браузер; сценарии импортозамещения и миграции с иностранных ВКС; сенсорная панель управления видеотерминалами.</t>
  </si>
  <si>
    <t xml:space="preserve">Бесплатное пилотное тестирование (разворачивают за несколько часов); поддержка 24/7; гибкая лицензионная политика; партнёрская программа (60+ партнёров, «Стать партнёром»). Цен «от» и % скидок нет.</t>
  </si>
  <si>
    <t xml:space="preserve">Перенять модель бесплатного пилотирования с быстрым развёртыванием («за несколько часов, под контролем инженеров») — предлагать быструю бесплатную демо-установку экрана/киоска Simple Touch у клиента на объекте.</t>
  </si>
  <si>
    <t xml:space="preserve">Telegram t.me/vinteoru — активен, посты неск. раз/неделю (последние \~13.09.2026): релизы версий ПО, представление сотрудников, темы ИИ в ВКС. Также VK, Rutube, MAX в футере — не детализированы.</t>
  </si>
  <si>
    <t xml:space="preserve">https://vinteo.ru/ ; https://t.me/s/vinteoru</t>
  </si>
  <si>
    <t xml:space="preserve">Пилот</t>
  </si>
  <si>
    <t xml:space="preserve">Прочее</t>
  </si>
  <si>
    <t xml:space="preserve">www.pilot.ru</t>
  </si>
  <si>
    <t xml:space="preserve">Пилот — московский интегратор автоматизации розницы (с 1992 г.): ПО и оборудование для магазинов и торговых сетей.</t>
  </si>
  <si>
    <t xml:space="preserve">ПО Profi-T (кассовое), CodeMark (маркировка), OmniLink, Easy Label; POS-терминалы SKY-POS, кассы по 54-ФЗ, киоски самообслуживания, сканеры штрихкодов, ТСД, принтеры этикеток/чеков, электронные ценники, весы, дисплеи digital signage, промышленные планшеты.</t>
  </si>
  <si>
    <t xml:space="preserve">Бесплатная демо-версия Profi-T; партнёрская программа; упоминается возможность лизинга оборудования. Конкретных цен «от» и % скидок нет.</t>
  </si>
  <si>
    <t xml:space="preserve">Обратить внимание на их линейку киосков самообслуживания для ритейла — изучить как референс формата для розничных клиентов Simple Touch (например, интерактивные киоски для магазинов).</t>
  </si>
  <si>
    <t xml:space="preserve">YouTube PilotForRetail, VK @pilotrbs, Дзен — содержание не проверено детально.</t>
  </si>
  <si>
    <t xml:space="preserve">Уточнить</t>
  </si>
  <si>
    <t xml:space="preserve">Проверить сайт вручную</t>
  </si>
  <si>
    <t xml:space="preserve">https://www.pilot.ru/</t>
  </si>
  <si>
    <t xml:space="preserve">Роль «Уточнить» → решить: партнёр по киоскам самообслуживания для ритейла (B) или вне фокуса (C)</t>
  </si>
  <si>
    <t xml:space="preserve">БС-Инжиниринг</t>
  </si>
  <si>
    <t xml:space="preserve">bs-group.pro</t>
  </si>
  <si>
    <t xml:space="preserve">МО</t>
  </si>
  <si>
    <t xml:space="preserve">Профиль неочевиден — уточнить на сайте</t>
  </si>
  <si>
    <t xml:space="preserve">—</t>
  </si>
  <si>
    <t xml:space="preserve">Сайт не соответствует компании (bs-group.pro — производитель автодомов и спецавтомобилей, не связан с мультимедиа/АВ-интеграцией)</t>
  </si>
  <si>
    <t xml:space="preserve">На bs-group.pro другая компания — найти правильный сайт по ИНН 5027237616</t>
  </si>
  <si>
    <t xml:space="preserve">СиВиДжи Аудио</t>
  </si>
  <si>
    <t xml:space="preserve">cvg.ru</t>
  </si>
  <si>
    <t xml:space="preserve">CVGAUDIO (СиВиДжи Аудио) — российский производитель профессионального звукового оборудования: фоновое озвучивание и речевое оповещение.</t>
  </si>
  <si>
    <t xml:space="preserve">Встраиваемые/потолочные/настенные акустические системы; 30+ моделей усилителей (100V и низкоомные линии); DSP-процессоры ZONER Pro; управление питанием Power Logic; контроллеры WEB-DRIVE; сабвуферы; сенсорные панели TSP-4; кабельная продукция PROCASTcable.</t>
  </si>
  <si>
    <t xml:space="preserve">Типовые пакетные решения; продажи также через Яндекс.Маркет, Ozon, Wildberries. Конкретных цен «от», скидок или гарантии с цифрами на сайте нет.</t>
  </si>
  <si>
    <t xml:space="preserve">Нет прямой применимой идеи; можно отметить присутствие на маркетплейсах (Яндекс.Маркет, Ozon, Wildberries) как дополнительный канал продаж для Simple Touch.</t>
  </si>
  <si>
    <t xml:space="preserve">Telegram t.me/cvgaudio, YouTube, VK, Rutube — содержание не проверено детально.</t>
  </si>
  <si>
    <t xml:space="preserve">https://cvg.ru/ ; https://t.me/cvgaudio</t>
  </si>
  <si>
    <t xml:space="preserve">ЛАНКЕЙ</t>
  </si>
  <si>
    <t xml:space="preserve">lankey.ru</t>
  </si>
  <si>
    <t xml:space="preserve">LanKey — российский ИТ-провайдер (20+ лет, 5000+ клиентов), аккредитация Минцифры: облачные и инженерные ИТ-решения для 15+ отраслей.</t>
  </si>
  <si>
    <t xml:space="preserve">Облачные сервисы (серверы, почта, ВКС/IP-телефония, 1С-хостинг, резервное копирование, DRaaS); ИТ-аудит и консалтинг; аутсорсинг; инженерные системы — связь, безопасность, электроснабжение, пожарная защита, мультимедиа, автоматизация.</t>
  </si>
  <si>
    <t xml:space="preserve">https://lankey.ru/</t>
  </si>
  <si>
    <t xml:space="preserve">Энжи</t>
  </si>
  <si>
    <t xml:space="preserve">anzhee.ru</t>
  </si>
  <si>
    <t xml:space="preserve">Энжи (Anzhee) — российский производитель/дистрибьютор профессионального сценического (свет/звук) оборудования, один из лидеров рынка.</t>
  </si>
  <si>
    <t xml:space="preserve">Световое оборудование (LED-прожекторы, театральный свет, вращающиеся головы, пиксельные трубы, эффекты); звуковые системы (акустика, усилители, микшеры, радиосистемы); генераторы спецэффектов (дым, конфетти, CO2); бренды YME, Robe, DTS и др.</t>
  </si>
  <si>
    <t xml:space="preserve">Бесплатная консультация и подбор пакета оборудования за 24 часа с расчётом стоимости и схемой размещения (по онлайн-анкете); гарантийный и постгарантийный ремонт, удалённая поддержка.</t>
  </si>
  <si>
    <t xml:space="preserve">Перенять идею бесплатного подбора комплектации за 24 часа по онлайн-анкете — сделать похожий быстрый сервис расчёта конфигурации экранов/киосков Simple Touch под объект клиента.</t>
  </si>
  <si>
    <t xml:space="preserve">https://anzhee.ru/</t>
  </si>
  <si>
    <t xml:space="preserve">ИНТЕР</t>
  </si>
  <si>
    <t xml:space="preserve">inter.ru</t>
  </si>
  <si>
    <t xml:space="preserve">Дистрибьютор профессионального AV-оборудования, продаёт через сеть интеграторов и дилеров</t>
  </si>
  <si>
    <t xml:space="preserve">Дисплеи, проекторы, LED, ВКС, коммутация (бренды — уточнить на сайте)</t>
  </si>
  <si>
    <t xml:space="preserve">Дилерские цены, демо-фонд, обучение и сертификация партнёров, проектная поддержка</t>
  </si>
  <si>
    <t xml:space="preserve">Взять механику партнёрки: уровни партнёров, демо-фонд, обучение — и адаптировать для дизайнеров/агентств</t>
  </si>
  <si>
    <t xml:space="preserve">Сайт не открывается (ошибка 403 / «inter.ru недоступен», проверено через WebFetch и браузер)</t>
  </si>
  <si>
    <t xml:space="preserve">ГРОМВИЖН</t>
  </si>
  <si>
    <t xml:space="preserve">gromvision.ru</t>
  </si>
  <si>
    <t xml:space="preserve">Громвижн — интегратор мультимедийных систем: «разработка, поставка и реализация проектов под ключ по всей России», опыт более 15 лет.</t>
  </si>
  <si>
    <t xml:space="preserve">Видеостены (LCD/LED), светодиодные экраны, ВКС, интерактивное оборудование, контроллеры видеостен, конференц-залы и ситуационные центры</t>
  </si>
  <si>
    <t xml:space="preserve">Эксклюзивная цена для дилеров/партнёров (без цифр), оперативные поставки, полный пакет документов, обучение и сертификация, техподдержка. Точных цен, % скидок и сроков гарантии на сайте нет</t>
  </si>
  <si>
    <t xml:space="preserve">У Громвижн партнёрская страница построена на общих словах без цифр — Simple Touch может выигрывать конкретными процентами скидок и уровнями партнёрства прямо на сайте</t>
  </si>
  <si>
    <t xml:space="preserve">VK vk.com/gromvision\_msk, YouTube, RuTube, Дзен dzen.ru/gromvision — активность не детализирована (Telegram не найден)</t>
  </si>
  <si>
    <t xml:space="preserve">https://gromvision.ru/ ; https://gromvision.ru/partners</t>
  </si>
  <si>
    <t xml:space="preserve">Софит Лайт</t>
  </si>
  <si>
    <t xml:space="preserve">sofitlight.ru</t>
  </si>
  <si>
    <t xml:space="preserve">Софит Лайт — проектирование, поставка, монтаж и производство технологического (свет/звук/видео) оборудования для театров, концертных залов, спорта и парков развлечений; на рынке с 2001 г. Не студия контента для музеев.</t>
  </si>
  <si>
    <t xml:space="preserve">Световое оборудование (EK Lights, Compulite и др.), пульты управления светом, видеооборудование (Unilumin, Panasonic, SpinetiX), звук (Outline, HLA), интерком, лебедки (Coreat)</t>
  </si>
  <si>
    <t xml:space="preserve">Нет на сайте: цен, скидок, акций — только форма «Запросить предложение». Сертификат ISO 9001, гарантийное и постгарантийное обслуживание</t>
  </si>
  <si>
    <t xml:space="preserve">Компания не музейный контент-студия, а дистрибьютор техоборудования для сцены/спорта (Остров Мечты, Театр Эстрады) — пересмотреть роль: скорее канал сбыта LED-видеооборудования, чем партнёр по контенту</t>
  </si>
  <si>
    <t xml:space="preserve">Telegram t.me/sofitlight — канал почти пустой (2 участника, постов не видно). Также VK vk.com/sofit\_light, YouTube, RuTube, Дзен dzen.ru/sofitlight — активность не детализирована</t>
  </si>
  <si>
    <t xml:space="preserve">Дистрибьютор техоборудования для сцены/спорта (не контент-студия) — канал сбыта видеооборудования</t>
  </si>
  <si>
    <t xml:space="preserve">Уточнить у них возможность поставки LED-экранов/видеостен Simple Touch как альтернативы Unilumin в их проекты</t>
  </si>
  <si>
    <t xml:space="preserve">https://sofitlight.ru/ ; https://t.me/s/sofitlight</t>
  </si>
  <si>
    <t xml:space="preserve">Тип → «Театры, сцена»: не музейная студия, а поставщик сцен. оборудования</t>
  </si>
  <si>
    <t xml:space="preserve">БС-ГРУП</t>
  </si>
  <si>
    <t xml:space="preserve">bs-group.info</t>
  </si>
  <si>
    <t xml:space="preserve">Сайт не открывается (сайт в разработке — заглушка WordPress, содержательной информации нет)</t>
  </si>
  <si>
    <t xml:space="preserve">Смарткиоск</t>
  </si>
  <si>
    <t xml:space="preserve">smartkiosk.ru</t>
  </si>
  <si>
    <t xml:space="preserve">SMARTKIOSK — российский производитель интерактивных киосков и терминалов самообслуживания (моделей Solo, Kristall) и интерактивных столов; собственная разработка и производство.</t>
  </si>
  <si>
    <t xml:space="preserve">Интерактивные киоски Solo (32/43/55"), Kristall (43/49/65"), интерактивные столы Solo (32/43"), информационные киоски, аренда оборудования, разработка кастомных моделей под проект.</t>
  </si>
  <si>
    <t xml:space="preserve">Гарантия до 36 месяцев; аренда киосков; разработка индивидуальных моделей под ТЗ; техподдержка включена. Цен «от» на сайте нет.</t>
  </si>
  <si>
    <t xml:space="preserve">Сравнить гарантию: у Simple Touch — до 5 лет против 36 мес у SMARTKIOSK; использовать более длинную гарантию как конкурентное преимущество в презентациях и продажах.</t>
  </si>
  <si>
    <t xml:space="preserve">Прямой конкурент (киоски)</t>
  </si>
  <si>
    <t xml:space="preserve">Тайный покупатель: КП на 10 киосков 43" с брендированием</t>
  </si>
  <si>
    <t xml:space="preserve">https://smartkiosk.ru/</t>
  </si>
  <si>
    <t xml:space="preserve">INTOKU (ИНТОКУ)</t>
  </si>
  <si>
    <t xml:space="preserve">Театры, сцена</t>
  </si>
  <si>
    <t xml:space="preserve">intoku.ru</t>
  </si>
  <si>
    <t xml:space="preserve">Сценическое оборудование: свет, звук, механика для театров и площадок</t>
  </si>
  <si>
    <t xml:space="preserve">Световое и звуковое оборудование, сценическая механика</t>
  </si>
  <si>
    <t xml:space="preserve">Проект и оснащение сцены под ключ</t>
  </si>
  <si>
    <t xml:space="preserve">Сайт не открывается (ошибка SSL-сертификата — «Ошибка нарушения конфиденциальности» в браузере, также 404 через WebFetch)</t>
  </si>
  <si>
    <t xml:space="preserve">АудиоВидеоСистемы</t>
  </si>
  <si>
    <t xml:space="preserve">audioprofi.ru</t>
  </si>
  <si>
    <t xml:space="preserve">АудиоВидеоСистемы — федеральный мультимедийный интегратор (с 2006 г.): оснащение конференц-залов, диспетчерских/ситуационных центров, актовых залов и аудиторий «под ключ»; 59 регионов присутствия.</t>
  </si>
  <si>
    <t xml:space="preserve">Видеоотображение и LED-экраны/медиафасады, конференцсвязь/ВКС, концертная акустика, сценический свет, интерактивные технологии, фоновая трансляция звука</t>
  </si>
  <si>
    <t xml:space="preserve">Оборудование по цене производителя, выездная демонстрация/тест-драйв оборудования у клиента, лизинг/рассрочка/кредит, 3D-визуализация проекта, КП за 1 день, гарантия 12 мес. с подменным фондом, работа по 44-ФЗ/223-ФЗ</t>
  </si>
  <si>
    <t xml:space="preserve">Выездной тест-драйв оборудования и 3D-визуализация проекта — сильные приёмы вовлечения; Simple Touch стоит внедрить аналогичную выездную демонстрацию и визуализацию проекта до продажи</t>
  </si>
  <si>
    <t xml:space="preserve">VK vk.com/av\_syst — активность не детализирована; общий Telegram-контакт менеджера (не канал). Более 2500 проектов, 5 наград ProIntegration Awards 2026 — сильное портфолио для гостендеров</t>
  </si>
  <si>
    <t xml:space="preserve">https://audioprofi.ru/</t>
  </si>
  <si>
    <t xml:space="preserve">РИВА</t>
  </si>
  <si>
    <t xml:space="preserve">riwa.ru</t>
  </si>
  <si>
    <t xml:space="preserve">RIWA — московский дистрибьютор/интегратор проф. АВ-оборудования для переговорных (20 лет, 638 проектов, 12 зарубежных поставщиков).</t>
  </si>
  <si>
    <t xml:space="preserve">Конференц-системы (проводные/беспроводные/мультимедиа); синхронный перевод; ВКС; PTZ-камеры; системы голосования; направленные колонки; LED-видеостены; звук и микрофоны; коммутация; запись/стриминг; интерактивное оборудование; выдвижные мониторы.</t>
  </si>
  <si>
    <t xml:space="preserve">Техконсалтинг и аудит проектов; поддержка госзакупок (44-ФЗ/223-ФЗ); аренда оборудования (конференц-системы, перевод, голосование); партнёрская программа; учебный центр; гарантийное обслуживание.</t>
  </si>
  <si>
    <t xml:space="preserve">Перенять формат учебного центра для обучения работе с оборудованием — организовать похожее обучение для интеграторов/партнёров по продукции Simple Touch.</t>
  </si>
  <si>
    <t xml:space="preserve">https://riwa.ru/</t>
  </si>
  <si>
    <t xml:space="preserve">АВРОРА/Сонорусс</t>
  </si>
  <si>
    <t xml:space="preserve">sonoruss.ru</t>
  </si>
  <si>
    <t xml:space="preserve">Сонорусс — дистрибьютор и инженерное подразделение по проф. оборудованию для культурных, спортивных и общественных объектов: звук, свет, LED-экраны.</t>
  </si>
  <si>
    <t xml:space="preserve">L-Acoustics (звук, серии X/S/A/K/L, сабвуферы); Ayrton (сценический свет, лазерно-фосфорные источники); Arenalux (LED-экраны — внутренние, наружные, гибкие, прозрачные); M2 Technology (управление звуком и экранами).</t>
  </si>
  <si>
    <t xml:space="preserve">Обратить внимание на линейку прозрачных LED-экранов Arenalux — изучить как референс для расширения продуктовой линейки Simple Touch.</t>
  </si>
  <si>
    <t xml:space="preserve">Telegram t.me/sonoruss, VK vk.com/sonorussaudio — содержание не проверено детально.</t>
  </si>
  <si>
    <t xml:space="preserve">https://sonoruss.ru/ ; https://t.me/sonoruss</t>
  </si>
  <si>
    <t xml:space="preserve">ПМТ</t>
  </si>
  <si>
    <t xml:space="preserve">pmt.ru</t>
  </si>
  <si>
    <t xml:space="preserve">СмартЛаб (pmt.ru) — проектирование и производство кинетических инсталляций и мультимедийных решений для публичных пространств и выставочных стендов.</t>
  </si>
  <si>
    <t xml:space="preserve">Кинетические инсталляции, интерактивные мультимедийные инсталляции, мультипространства «под ключ», выставочные стенды, XR/VR/AR-решения, инсталляции в аренду</t>
  </si>
  <si>
    <t xml:space="preserve">Нет на сайте: прайс-листов, гарантийных сроков, демо. Только форма «Заявка на проект» с ответом в течение нескольких часов (10:00-19:00 МСК)</t>
  </si>
  <si>
    <t xml:space="preserve">Обещание быстрого ответа на заявку (несколько часов) — Simple Touch может использовать похожий SLA-оффер как отличие от медленных конкурентов</t>
  </si>
  <si>
    <t xml:space="preserve">Telegram t.me/pmt\_multimedia — содержание не детализировано. VK/YouTube/Дзен/Rutube/Habr на сайте не найдены</t>
  </si>
  <si>
    <t xml:space="preserve">Партнёр: у нас производство LED/интерактива для их экспозиций</t>
  </si>
  <si>
    <t xml:space="preserve">https://pmt.ru/ ; https://pmt.ru/portfolio</t>
  </si>
  <si>
    <t xml:space="preserve">АВ ПРО</t>
  </si>
  <si>
    <t xml:space="preserve">av-pro.info</t>
  </si>
  <si>
    <t xml:space="preserve">Казань</t>
  </si>
  <si>
    <t xml:space="preserve">АВ ПРО (Казань) — системный интегратор мультимедийных и интерактивных решений для конференц-залов, образования, театров и госорганизаций.</t>
  </si>
  <si>
    <t xml:space="preserve">Звуковое оборудование (микрофоны, усилители, консоли), проекторы и LED-экраны, интерактивные дисплеи, ВКС и видеозахват, системы синхронного перевода, световое/архитектурное оборудование, Digital Signage</t>
  </si>
  <si>
    <t xml:space="preserve">Нет на сайте: цен, скидок, сроков гарантии, бесплатного выезда/демо, партнёрской программы</t>
  </si>
  <si>
    <t xml:space="preserve">Нет открытых офферов — предложить типовой пакет «переговорная S/M/L» с фикс-ценой как региональному партнёру в Казани</t>
  </si>
  <si>
    <t xml:space="preserve">Telegram t.me/av\_pro, VK vk.com/avprokzn, YouTube, Яндекс Дзен — активность не детализирована</t>
  </si>
  <si>
    <t xml:space="preserve">https://av-pro.info/</t>
  </si>
  <si>
    <t xml:space="preserve">Эмерлинк</t>
  </si>
  <si>
    <t xml:space="preserve">emerlink.net</t>
  </si>
  <si>
    <t xml:space="preserve">Эмерлинк — российский разработчик оборудования и ПО для кодирования, мультиплексирования и доставки цифрового ТВ-контента.</t>
  </si>
  <si>
    <t xml:space="preserve">Аппаратные платформы Emerlink (Compact/Platform); портативное оборудование (Video 2.0/3.0, Encoder Mini); сетевое оборудование (SAT, PRO); ПО для кодирования/декодирования, доставки видео (ADS), мониторинга, транскодирования и мультиплексирования.</t>
  </si>
  <si>
    <t xml:space="preserve">Цены не публичны — только через заявку/коммерческое предложение. Конкретных цен «от», скидок или гарантии с цифрами на сайте нет.</t>
  </si>
  <si>
    <t xml:space="preserve">Нет на сайте — не пересекается с профилем Simple Touch, явной применимой идеи не найдено.</t>
  </si>
  <si>
    <t xml:space="preserve">Telegram t.me/atrpassociation, Rutube rutube.ru/channel/47589089 — содержание не проверено детально.</t>
  </si>
  <si>
    <t xml:space="preserve">https://emerlink.net/</t>
  </si>
  <si>
    <t xml:space="preserve">Аллегри</t>
  </si>
  <si>
    <t xml:space="preserve">???</t>
  </si>
  <si>
    <t xml:space="preserve">Сайт не указан — вероятно, связан с ПК Аллегри; уточнить</t>
  </si>
  <si>
    <t xml:space="preserve">Собственная продукция — уточнить на сайте</t>
  </si>
  <si>
    <t xml:space="preserve">Партнёрская программа для интеграторов (проверить)</t>
  </si>
  <si>
    <t xml:space="preserve">Оценить: можно ли встроить их продукт в наши экраны/киоски как комплект</t>
  </si>
  <si>
    <t xml:space="preserve">Требует ручной проверки (сайт не указан в колонке C; возможно дублирует ПК Аллегри, allegri-group.ru — уточнить у составителя)</t>
  </si>
  <si>
    <t xml:space="preserve">Сайт не указан: найти по ИНН 7727570341, проверить, не дубль ли это «ПК Аллегри» (строка выше)</t>
  </si>
  <si>
    <t xml:space="preserve">IP Video Systems</t>
  </si>
  <si>
    <t xml:space="preserve">ipvs.ru</t>
  </si>
  <si>
    <t xml:space="preserve">IP Video Systems — московский дистрибьютор АВ-решений: поставка, монтаж и настройка проекционного оборудования (700+ проектов).</t>
  </si>
  <si>
    <t xml:space="preserve">Комплекты для переговорных; камеры ВКС (PTZ, videobar); спикерфоны; ЖК-панели, LED-экраны, интерактивные панели; микрофоны/радиосистемы; звук и усилители; сетевое оборудование; системы управления; мебель.</t>
  </si>
  <si>
    <t xml:space="preserve">Прайс-лист доступен (Google Sheets); бесплатная консультация по телефону/обратный звонок; работа по 44-ФЗ/223-ФЗ; гарантия и техподдержка; продажи также на Ozon и Яндекс.Маркет.</t>
  </si>
  <si>
    <t xml:space="preserve">Перенять идею публичного прайс-листа в открытом доступе (Google Sheets) — повышает прозрачность и доверие клиентов при выборе оборудования Simple Touch.</t>
  </si>
  <si>
    <t xml:space="preserve">VK vk.com/ipvs\_ru, YouTube — содержание не проверено детально.</t>
  </si>
  <si>
    <t xml:space="preserve">https://ipvs.ru/</t>
  </si>
  <si>
    <t xml:space="preserve">СитиМедиа</t>
  </si>
  <si>
    <t xml:space="preserve">sitimedia.ru</t>
  </si>
  <si>
    <t xml:space="preserve">Нижний Новгород</t>
  </si>
  <si>
    <t xml:space="preserve">СитиМедиа — нижегородский интернет-магазин проекционного и интерактивного оборудования для бизнеса, бюджетных организаций и образования.</t>
  </si>
  <si>
    <t xml:space="preserve">Проекторы и аксессуары, интерактивные доски/панели, ЖК/LED-дисплеи, документ-камеры, экраны, сенсорные киоски и интерактивные столы, оборудование ВКС, робототехника, 3D-принтеры, VR, крепления и мебель.</t>
  </si>
  <si>
    <t xml:space="preserve">Демо-шоурум для показа оборудования; аренда оборудования на разный срок; готовые интерактивные комплекты для школ; спецусловия для бюджетных/образовательных организаций; поддержка тендеров и госзакупок; официальная гарантия производителя.</t>
  </si>
  <si>
    <t xml:space="preserve">Перенять формат демо-шоурума и готовых «коробочных» комплектов для конкретных сегментов (например, готовый комплект интерактивного киоска под музей/шоурум) — упростить выбор для клиента.</t>
  </si>
  <si>
    <t xml:space="preserve">VK vk.com/sitimediaedu, Rutube rutube.ru/channel/59236552 — содержание не проверено детально (VK не открывается инструментом проверки).</t>
  </si>
  <si>
    <t xml:space="preserve">Возможный региональный партнёр</t>
  </si>
  <si>
    <t xml:space="preserve">https://sitimedia.ru/</t>
  </si>
  <si>
    <t xml:space="preserve">Интэч Инкорпорейтед</t>
  </si>
  <si>
    <t xml:space="preserve">intechirs.ru</t>
  </si>
  <si>
    <t xml:space="preserve">Интэч Инкорпорейтед (INTECHIRS Inc.) — производитель мультимедийных решений «любого масштаба»: проектирование, поставка, монтаж и сервис по всей России; с 2018 г., 3038+ клиентов.</t>
  </si>
  <si>
    <t xml:space="preserve">LED-экраны (indoor/outdoor, разные геометрии), интерактивные панели 65"/75" 4K, интерактивные киоски и столы, системы электронной очереди, монтаж/ремонт/техподдержка, аренда и лизинг</t>
  </si>
  <si>
    <t xml:space="preserve">Бесплатная доставка по РФ (0 руб.), расчёт КП за 2 часа, 100% постоплата, 375+ сервисных центров по России (круглосуточно), работа по 44-ФЗ/223-ФЗ. Точных цен «от» в открытом доступе нет — расчёт через форму</t>
  </si>
  <si>
    <t xml:space="preserve">У Intechirs — расчёт КП за 2 часа и постоплата 100% (без предоплаты) — сильные конкурентные офферы; Simple Touch стоит рассмотреть аналогичный быстрый расчёт и гибкую оплату</t>
  </si>
  <si>
    <t xml:space="preserve">Telegram t.me/Intechirs\_Inc — активность не детализирована. Также аккаунт в MAX. VK/YouTube/Дзен/Rutube/Habr не найдены</t>
  </si>
  <si>
    <t xml:space="preserve">Прямой конкурент (производитель LED-экранов, панелей и киосков — не только интегратор)</t>
  </si>
  <si>
    <t xml:space="preserve">Тайный покупатель: запросить КП на интерактивную панель 75" и экран 3×2 м — сравнить сроки (2 часа), цену и условия оплаты</t>
  </si>
  <si>
    <t xml:space="preserve">https://intechirs.ru/ ; https://t.me/s/Intechirs\_Inc</t>
  </si>
  <si>
    <t xml:space="preserve">Тип → «Светодиодка/производитель»: заявляют производство; КП за 2 часа и 100% постоплата — в бенчмарк</t>
  </si>
  <si>
    <t xml:space="preserve">СМАРТ АВ</t>
  </si>
  <si>
    <t xml:space="preserve">smart-av.ru</t>
  </si>
  <si>
    <t xml:space="preserve">Smart-AV — российский системный интегратор мультимедийных и AV-решений: проектирование, подбор оборудования, монтаж и сервис для переговорных и презентационных пространств.</t>
  </si>
  <si>
    <t xml:space="preserve">Конференц-камеры (PTZ/4K/360°), спикерфоны и микрофонные массивы, интерактивные панели/LED/LCD-экраны, проекторы, звуковое оборудование, ВКС-терминалы, системы бронирования, акустические кабины.</t>
  </si>
  <si>
    <t xml:space="preserve">Бесплатный тест-драйв оборудования; бесплатный онлайн-конфигуратор переговорной с 3D-визуализацией (бета); бесплатный выезд/консультация; работают только с брендами с полной гарантией в РФ; поддержка 44-ФЗ/223-ФЗ. Цен «от» нет.</t>
  </si>
  <si>
    <t xml:space="preserve">Перенять идею бесплатного 3D-конфигуратора переговорной — сделать аналогичный онлайн-инструмент подбора и визуализации интерактивных панелей/LED-экранов Simple Touch под пространство клиента.</t>
  </si>
  <si>
    <t xml:space="preserve">VK vk.com/smartavvks, Rutube rutube.ru/channel/52282548, публикации на VC.ru и Habr (habr.com/ru/companies/smartav\_multimedia) — активность и темы не детализированы (VK не открылся инструментом проверки).</t>
  </si>
  <si>
    <t xml:space="preserve">AV-интегратор без собственного производства — вероятный потенциальный партнёр, а не производитель-конкурент</t>
  </si>
  <si>
    <t xml:space="preserve">Обсудить партнёрство: предложить включить оборудование Simple Touch (LED-экраны, киоски, интерактивные панели) в портфель их интеграционных проектов</t>
  </si>
  <si>
    <t xml:space="preserve">https://smart-av.ru/</t>
  </si>
  <si>
    <t xml:space="preserve">Полианалитика</t>
  </si>
  <si>
    <t xml:space="preserve">polyanalitika.ru</t>
  </si>
  <si>
    <t xml:space="preserve">ПолиАналитика — российский разработчик/интегратор BI и аналитических решений на отечественном ПО для ситуационных центров, госсектора и корпораций.</t>
  </si>
  <si>
    <t xml:space="preserve">Polyflow (сбор/ETL данных), POLYHUB (аналитический хаб), POLYCORE (аналитическое ядро), Visiology (российская BI-платформа), техподдержка и мониторинг, разработка решений под ситуационные центры.</t>
  </si>
  <si>
    <t xml:space="preserve">Нет прямой применимой идеи для продукта; можно отметить формат участия в отраслевых форумах (агротех, ИТ-форумы) как канал продвижения для Simple Touch.</t>
  </si>
  <si>
    <t xml:space="preserve">Telegram t.me/polyanalitika — активен, посты неск. раз/месяц (последние — сентябрь 2026): участие в форумах (агрокогресс, ProIT), ИИ в ситуационных центрах, BI+LLM для госуправления. VK, YouTube, Rutube тоже есть, не детализированы.</t>
  </si>
  <si>
    <t xml:space="preserve">Партнёр для ситуационных центров</t>
  </si>
  <si>
    <t xml:space="preserve">https://polyanalitika.ru/ ; https://t.me/s/polyanalitika</t>
  </si>
  <si>
    <t xml:space="preserve">Банана Брэд</t>
  </si>
  <si>
    <t xml:space="preserve">bananabread.pro</t>
  </si>
  <si>
    <t xml:space="preserve">BananaBread — creative engineering studio («команда дизайн-мыслителей превращает пространства в впечатления»); офисы в Москве и Дубае.</t>
  </si>
  <si>
    <t xml:space="preserve">Интерактивные инсталляции для музеев, мультимедиа-шоу и видеомэппинг, музейные интерактивные приложения (карты, инфокарты), апгрейд экспозиционных витрин, инженерные/IT-решения для пространств</t>
  </si>
  <si>
    <t xml:space="preserve">Нет на сайте цен и акций — только контакты для брифинга (letsbake@bananabread.pro, +7 499 390 0705)</t>
  </si>
  <si>
    <t xml:space="preserve">Кейсы: Еврейский музей (интерактивная карта Домов Хабад), Музей «Динамо» (зона «Стань Динамовцем», мультимедиа-шоу с видеомэппингом) — предложить связку: они контент, Simple Touch — производство</t>
  </si>
  <si>
    <t xml:space="preserve">YouTube и Vimeo указаны в футере сайта (без прямых текстовых URL). Telegram/VK не найдены</t>
  </si>
  <si>
    <t xml:space="preserve">https://bananabread.pro/</t>
  </si>
  <si>
    <t xml:space="preserve">ФИЛИН ПРО</t>
  </si>
  <si>
    <t xml:space="preserve">filin.pro</t>
  </si>
  <si>
    <t xml:space="preserve">FILIN — мультимедийные решения для презентаций товаров и имиджевых проектов: интерактивные выставочные стенды, музеи, инсталляции; 13 лет, 250+ клиентов, 400+ проектов.</t>
  </si>
  <si>
    <t xml:space="preserve">Мультимедийные выставочные стенды, интерактивные музеи, интерактивные инсталляции, разработка контента, интерактивные учебные классы</t>
  </si>
  <si>
    <t xml:space="preserve">Нет на сайте: цен, скидок, гарантий. Предложение — презентация компании, обратный звонок, полный цикл «под ключ»</t>
  </si>
  <si>
    <t xml:space="preserve">Сильные кейсы (ММК, «Дом полимеров» СИБУР, ВДНХ, выставка «Россия», Еврейский музей) без открытых цен — предложить связку: они контент, Simple Touch — производство корпусов/киосков/LED</t>
  </si>
  <si>
    <t xml:space="preserve">Telegram t.me/filin\_office, VK vk.com/filin\_multimedia, YouTube — активность не детализирована</t>
  </si>
  <si>
    <t xml:space="preserve">https://filin.pro/</t>
  </si>
  <si>
    <t xml:space="preserve">Лоджик Системс</t>
  </si>
  <si>
    <t xml:space="preserve">logic-systems.ru</t>
  </si>
  <si>
    <t xml:space="preserve">Logic Systems — российский ИТ-интегратор (с 2004 г.): поставка оборудования, системная интеграция и инфраструктура для бизнеса и госсектора; собственная сборка серверов/ПК.</t>
  </si>
  <si>
    <t xml:space="preserve">Серверы/СХД/сетевое оборудование известных брендов; лицензии ПО; заказная разработка (автоматизация, Big Data, блокчейн, ML); инженерные системы (ЦОД, видеонаблюдение, СКУД, ВКС); мультимедиа (переговорные, видеостены, виртуальные киоски для образования/коммерции); сборка серверов/ПК (до 1000 ПК и 100 серверов в месяц).</t>
  </si>
  <si>
    <t xml:space="preserve">Отсрочка платежа; тех.консультации до и после продажи; гарантия до 3 лет на собранное оборудование. Цен «от» на сайте нет.</t>
  </si>
  <si>
    <t xml:space="preserve">Сравнить гарантию: у Simple Touch — до 5 лет против 3 лет у Logic Systems на собственную сборку; использовать более длинную гарантию как аргумент в продажах и презентациях.</t>
  </si>
  <si>
    <t xml:space="preserve">https://logic-systems.ru/</t>
  </si>
  <si>
    <t xml:space="preserve">Метаформа</t>
  </si>
  <si>
    <t xml:space="preserve">meta-forma.ru</t>
  </si>
  <si>
    <t xml:space="preserve">Бюро музейной сценографии «Метаформа» (СПб/Москва) — «комплекс услуг по созданию музеев под ключ»: концепция, экспозиции, корпоративные музеи, временные выставки; заявлено собственное производство.</t>
  </si>
  <si>
    <t xml:space="preserve">Создание музеев «с нуля», музейные экспозиции, корпоративные музеи, временные выставки, интерактивные инсталляции, мультимедийный контент</t>
  </si>
  <si>
    <t xml:space="preserve">Нет на сайте: цен, скидок, гарантий. Оффер — 4-этапный процесс: концепция → проектирование → производство/реализация → техподдержка</t>
  </si>
  <si>
    <t xml:space="preserve">У Метаформы заявлено собственное производство — уточнить при контакте, действительно ли своё или на аутсорсе; если аутсорс — предложить Simple Touch как производственную базу для их экспозиций</t>
  </si>
  <si>
    <t xml:space="preserve">Telegram t.me/burometaforma, VK vk.com/burometaforma, YouTube, Behance — активность не детализирована</t>
  </si>
  <si>
    <t xml:space="preserve">Партнёр: у нас производство LED/интерактива для их экспозиций (уточнить — заявляют своё производство)</t>
  </si>
  <si>
    <t xml:space="preserve">https://meta-forma.ru/</t>
  </si>
  <si>
    <t xml:space="preserve">Детектор (новые технологии)</t>
  </si>
  <si>
    <t xml:space="preserve">detectorgroup.ru</t>
  </si>
  <si>
    <t xml:space="preserve">Detector Group — системный интегратор мультимедиа с 2010 г.: LED-экраны и мультимедийные системы, своё конструкторское бюро и производство.</t>
  </si>
  <si>
    <t xml:space="preserve">Уличные/интерьерные/гибкие/прозрачные/COB LED-экраны, видеостены и медиафасады, видеополы и интерактивные дисплеи, проекторы, монтаж и сервис</t>
  </si>
  <si>
    <t xml:space="preserve">Цены от 25 000₽/м² (уличные), от 38 000₽/м² (интерьерные), от 40 000₽/м² (гибкие), от 55 000₽ (мобильные видеостены), от 60 000₽ (проекторы), видеостены от 50 000₽/ед. Калькулятор на сайте (/kalkulyator/). Гарантия и сроки не указаны</t>
  </si>
  <si>
    <t xml:space="preserve">У Detector Group детальная сетка цен «от» по типам экранов прямо на сайте — Simple Touch стоит сравнить свои цены и рассмотреть аналогичную открытую сетку по типам продукции</t>
  </si>
  <si>
    <t xml:space="preserve">Только контактная Telegram-ссылка (t.me/+79037909027, не канал). VK/YouTube/Дзен/Rutube/Habr не найдены</t>
  </si>
  <si>
    <t xml:space="preserve">Прямой конкурент (LED)</t>
  </si>
  <si>
    <t xml:space="preserve">https://detectorgroup.ru/ ; https://detectorgroup.ru/kalkulyator/</t>
  </si>
  <si>
    <t xml:space="preserve">Полисервис</t>
  </si>
  <si>
    <t xml:space="preserve">polyservice.ru</t>
  </si>
  <si>
    <t xml:space="preserve">PolyService — IT-аккредитованный сервисный центр: обслуживание мультимедийного AV/IT-оборудования (Москва, СПб, регионы). Это сервисная компания, а не продавец проектов/оборудования.</t>
  </si>
  <si>
    <t xml:space="preserve">Сервисное обслуживание 24х7, гарантийный и постгарантийный ремонт, монтаж и пусконаладка, программирование систем управления, аудит и консалтинг, модернизация комплексов</t>
  </si>
  <si>
    <t xml:space="preserve">Выезд по заявке — 1 рабочий день; комплексные сервисные контракты с SLA; бесплатная консультация по заявке. Цены и скидки не опубликованы</t>
  </si>
  <si>
    <t xml:space="preserve">Компания — сервисный подрядчик, не закупщик оборудования под своим брендом — переоценить роль: скорее потенциальный партнёр по сервисному обслуживанию наших инсталляций, чем WL-покупатель</t>
  </si>
  <si>
    <t xml:space="preserve">Telegram-бот t.me/polymate\_ai\_bot (не канал). VK/YouTube/Дзен/Rutube/Habr не найдены</t>
  </si>
  <si>
    <t xml:space="preserve">Потенциальный сервисный субподрядчик для гарантийного обслуживания наших объектов (не покупатель WL)</t>
  </si>
  <si>
    <t xml:space="preserve">Уточнить условия субподряда на сервисное обслуживание LED/интерактивных инсталляций в регионах</t>
  </si>
  <si>
    <t xml:space="preserve">https://polyservice.ru/</t>
  </si>
  <si>
    <t xml:space="preserve">Тип → «Сервис»: рассмотреть как подрядчика по гарантийному обслуживанию наших объектов в регионах</t>
  </si>
  <si>
    <t xml:space="preserve">ВидеоТрейд</t>
  </si>
  <si>
    <t xml:space="preserve">videotrade.ru</t>
  </si>
  <si>
    <t xml:space="preserve">ВидеоТрейд — московская инженерно-интеграционная компания: проектирование, поставка и внедрение мультимедийных систем «полного цикла».</t>
  </si>
  <si>
    <t xml:space="preserve">Системы управления и диспетчеризации (ситуационные центры, визуализация); дисплейные системы (экраны, LED, видеостены); инженерное проектирование (обследование, концепция, документация); интеграция и пусконаладка; звук и акустика; сервис и развитие систем.</t>
  </si>
  <si>
    <t xml:space="preserve">Конкретных цен «от», скидок, гарантии или акций на сайте нет — только приглашение обсудить проект.</t>
  </si>
  <si>
    <t xml:space="preserve">https://videotrade.ru/</t>
  </si>
  <si>
    <t xml:space="preserve">АВ ПРОМ</t>
  </si>
  <si>
    <t xml:space="preserve">av-prom.ru</t>
  </si>
  <si>
    <t xml:space="preserve">АВ ПРОМ — проектирование и комплексное оснащение объектов видеостенами, системами отображения информации, мультимедийными и АВ-комплексами по всей России.</t>
  </si>
  <si>
    <t xml:space="preserve">Видеостены и LED-экраны, профессиональные дисплеи и ЖК-панели, конференц-системы и синхронный перевод, оснащение ТВ-студий, диспетчерские/ситуационные центры, звуковое оборудование</t>
  </si>
  <si>
    <t xml:space="preserve">Нет на сайте: цен, скидок, гарантии, бесплатного выезда/демо, партнёрской программы</t>
  </si>
  <si>
    <t xml:space="preserve">Нет соцсетей и открытых офферов — предложить типовой пакет «переговорная S/M/L» с фикс-ценой и сроком</t>
  </si>
  <si>
    <t xml:space="preserve">https://av-prom.ru/</t>
  </si>
  <si>
    <t xml:space="preserve">Умный Век</t>
  </si>
  <si>
    <t xml:space="preserve">umvek.ru</t>
  </si>
  <si>
    <t xml:space="preserve">Умный Век — проектирует и монтирует видеостены, LED-экраны, ВКС и ситуационные центры «под ключ»; на рынке с 2016 г.</t>
  </si>
  <si>
    <t xml:space="preserve">Видеостены и LED-экраны, ВКС, центры мониторинга, Digital Signage и корпоративное ТВ, профессиональный свет и звук, R\&amp;D спецпроекты</t>
  </si>
  <si>
    <t xml:space="preserve">Бесплатная визуализация решений, лизинг на экраны, монтаж от 3 дней по России и СНГ, дополнительная гарантия и сервисное сопровождение. Точных цен на сайте нет</t>
  </si>
  <si>
    <t xml:space="preserve">У Умный Век есть лизинг на экраны и бесплатная визуализация — Simple Touch может добавить аналогичные офферы (лизинг, бесплатный 3D-рендер проекта) для конверсии</t>
  </si>
  <si>
    <t xml:space="preserve">https://umvek.ru/</t>
  </si>
  <si>
    <t xml:space="preserve">(без названия)</t>
  </si>
  <si>
    <t xml:space="preserve">sapphire-led.com</t>
  </si>
  <si>
    <t xml:space="preserve">SAPPHIRE — производство и продажа светодиодных рекламных экранов, полный цикл от проектирования до установки (Москва).</t>
  </si>
  <si>
    <t xml:space="preserve">LED-экраны серии SCI (высокая плотность пикселей), рекламные дисплеи, экраны для мероприятий, дисплеи для ТРЦ, проектирование и монтаж, сервис и гарантийное обслуживание</t>
  </si>
  <si>
    <t xml:space="preserve">Заявлены «конкурентоспособные цены и минимальные сроки» без цифр; калькулятора, точных цен за м² и сроков гарантии на сайте нет</t>
  </si>
  <si>
    <t xml:space="preserve">У Sapphire нет открытых цен/калькулятора — Simple Touch может выигрывать наглядным расчётом стоимости на сайте</t>
  </si>
  <si>
    <t xml:space="preserve">https://sapphire-led.com/</t>
  </si>
  <si>
    <t xml:space="preserve">Вписать название «SAPPHIRE» в колонку A (и в «Базу»), проверить юрлицо по ИНН</t>
  </si>
  <si>
    <t xml:space="preserve">ИНТЕРАКТИВНЫЕ ЦИФРОВЫЕ РЕШЕНИЯ</t>
  </si>
  <si>
    <t xml:space="preserve">interactivedigital.ru</t>
  </si>
  <si>
    <t xml:space="preserve">Interactive Digital — разработка и внедрение инфраструктурных решений для бизнеса: мультимедиа, VR/AR, инженерные системы. Не подтверждено производство панелей/киосков/столов, как предполагалось ранее.</t>
  </si>
  <si>
    <t xml:space="preserve">Мультимедиа-системы (видео/аудио/свет), VR/AR-приложения, ситуационные центры и диспетчерские, конференц-залы, видеонаблюдение и контроль доступа, инженерные системы (электрика, кабельные сети, пожарная безопасность)</t>
  </si>
  <si>
    <t xml:space="preserve">Нет на сайте: цен, скидок, гарантийных сроков</t>
  </si>
  <si>
    <t xml:space="preserve">Профиль шире, чем «интерактивные киоски» — не факт, что прямой конкурент по железу; нужен звонок для уточнения, что именно производят/продают</t>
  </si>
  <si>
    <t xml:space="preserve">Интегратор широкого профиля (VR/AR, инженерные системы) — роль как конкурента в интерактиве не подтверждена, требует уточнения</t>
  </si>
  <si>
    <t xml:space="preserve">Уточнить по телефону, производят ли они панели/киоски/столы сами, или это интеграция чужого оборудования — от этого зависит роль (конкурент vs WL-покупатель)</t>
  </si>
  <si>
    <t xml:space="preserve">https://interactivedigital.ru/</t>
  </si>
  <si>
    <t xml:space="preserve">Дикстен</t>
  </si>
  <si>
    <t xml:space="preserve">dixten.com</t>
  </si>
  <si>
    <t xml:space="preserve">DIXTEN — поставщик и инсталлятор профессионального AV-оборудования «под ключ» для госучреждений и бизнеса; 18+ лет, 700+ проектов по РФ с 2007 г.</t>
  </si>
  <si>
    <t xml:space="preserve">AV-решения для переговорных/конференц-залов, школьное оповещение, ВКС (партнёр МТС Линк), звук для кафе/фитнеса, музеи и выставки, актовые залы</t>
  </si>
  <si>
    <t xml:space="preserve">Бесплатная доставка по РФ, работа по 44-ФЗ/223-ФЗ/615-ФЗ, расчёт проекта от 3 часов, бесплатная консультация, каталог 50 000+ позиций от 880+ брендов и 50+ поставщиков</t>
  </si>
  <si>
    <t xml:space="preserve">У DIXTEN расчёт КП от 3 часов и огромный каталог (50 000+ позиций) — быстрый расчёт стоимости как конкурентный приём, который стоит перенять</t>
  </si>
  <si>
    <t xml:space="preserve">Telegram-бот t.me/dixtenbot, YouTube youtube.com/@DIXTEN\_PRO, RuTube — активность не детализирована</t>
  </si>
  <si>
    <t xml:space="preserve">https://dixten.com/</t>
  </si>
  <si>
    <t xml:space="preserve">АН-Система</t>
  </si>
  <si>
    <t xml:space="preserve">ansystem.ru</t>
  </si>
  <si>
    <t xml:space="preserve">Ростов-на-Дону</t>
  </si>
  <si>
    <t xml:space="preserve">АН-Система (Ростов-на-Дону) — разработка и реализация мультимедиа-проектов: оснащение аудиторий, конференц-залов и других помещений видео/аудио/управлением.</t>
  </si>
  <si>
    <t xml:space="preserve">Мультимедиа-проекты, ВКС и конгресс-системы, видеоотображение, звукоусиление и обработка звука, запись и трансляция, интегрированное управление</t>
  </si>
  <si>
    <t xml:space="preserve">Нет на сайте: цен, скидок, сроков гарантии (только «гарантийная поддержка» без цифр), демо, партнёрской программы</t>
  </si>
  <si>
    <t xml:space="preserve">Нет соцсетей и открытых офферов — региональный партнёр для юга России, предложить фикс-пакет «переговорная S/M/L»</t>
  </si>
  <si>
    <t xml:space="preserve">Региональный партнёр/дилер</t>
  </si>
  <si>
    <t xml:space="preserve">https://ansystem.ru/</t>
  </si>
  <si>
    <t xml:space="preserve">Элиттех</t>
  </si>
  <si>
    <t xml:space="preserve">elittech.ru</t>
  </si>
  <si>
    <t xml:space="preserve">Элиттех — московский дистрибьютор проф. АВ-решений («поставщик исключительно надёжных видеорешений»), собственный бренд EliteBoard.</t>
  </si>
  <si>
    <t xml:space="preserve">Видеостены и панели, ТВ, интерактивные дисплеи/доски (EliteBoard), PTZ-камеры, проф. мониторы; звук (акустика, колонны, усилители); кабели и коммутация; контроллеры видеостен; AV over IP; решения для переговорных, образования, digital signage.</t>
  </si>
  <si>
    <t xml:space="preserve">Гарантия 3 года на EliteBoard; тройной контроль качества; бесплатные кабели при покупке контроллера (в акциях); демонстрации в шоуруме; прайс-листы в Excel для скачивания.</t>
  </si>
  <si>
    <t xml:space="preserve">Сравнить гарантию: у Simple Touch — до 5 лет против 3 лет у EliteBoard; перенять идею акции «бесплатный аксессуар при покупке» (кабели → например, крепление или ПО в подарок к экрану).</t>
  </si>
  <si>
    <t xml:space="preserve">Telegram t.me/elittech\_official, VK vk.com/elittechofficial — содержание не проверено детально.</t>
  </si>
  <si>
    <t xml:space="preserve">https://elittech.ru/ ; https://t.me/elittech\_official</t>
  </si>
  <si>
    <t xml:space="preserve">Онлайн Центр</t>
  </si>
  <si>
    <t xml:space="preserve">onlinecenter.ru</t>
  </si>
  <si>
    <t xml:space="preserve">OnlineCenter — внедрение цифровых технологий и оборудования для современных офисов: «повышаем продуктивность сотрудников в офисе и на удалёнке».</t>
  </si>
  <si>
    <t xml:space="preserve">Системы бронирования рабочих мест/переговорных, акустические кабины, мультимедиа (видеостены, экраны), контроль климата и обеззараживание воздуха, ВКС-оборудование, серверы и СХД</t>
  </si>
  <si>
    <t xml:space="preserve">Нет на сайте: цен, скидок, гарантии, демо, партнёрской программы — только форма «Подобрать решение»</t>
  </si>
  <si>
    <t xml:space="preserve">Нет соцсетей и офферов — компания больше про «умный офис» (бронирование, акустические кабины), чем классический AV-интегратор; предложить видеостены/LED как дополнение к их «умному офису»</t>
  </si>
  <si>
    <t xml:space="preserve">https://onlinecenter.ru/</t>
  </si>
  <si>
    <t xml:space="preserve">Профиль «умный офис», не классический AV — понизить до B</t>
  </si>
  <si>
    <t xml:space="preserve">AVISUAL</t>
  </si>
  <si>
    <t xml:space="preserve">avisual.ru</t>
  </si>
  <si>
    <t xml:space="preserve">AVISUAL — продажа мультимедийного оборудования с доставкой по Москве/РФ/СНГ; проектирование и внедрение AV-систем.</t>
  </si>
  <si>
    <t xml:space="preserve">Оборудование для конференций (микрофоны, камеры), аудиооборудование (усилители, акустика, сабвуферы), видеокоммутация и видеопроцессоры, интерактивные доски/экраны/столы, LED-экраны (indoor/outdoor), видеостены</t>
  </si>
  <si>
    <t xml:space="preserve">Нет на сайте: цен, скидок, гарантии, демо, партнёрской программы — только форма обратного звонка</t>
  </si>
  <si>
    <t xml:space="preserve">Нет соцсетей и офферов — предложить типовой пакет «переговорная S/M/L» с фикс-ценой</t>
  </si>
  <si>
    <t xml:space="preserve">https://avisual.ru/</t>
  </si>
  <si>
    <t xml:space="preserve">video-stena.ru</t>
  </si>
  <si>
    <t xml:space="preserve">ВидеоСтена — российский производитель и интегратор видеостен, LED-экранов и интерактивного оборудования (15+ лет на рынке).</t>
  </si>
  <si>
    <t xml:space="preserve">Бесшовные ЖК/LED-видеостены (Samsung, LG, COB, BOE); DLP-кубы; LED-экраны и медиафасады; интерактивные доски (линейки Business/Economy/Elite); интерактивные коммерческие дисплеи и киоски; OLED-витрины; контроллеры видеостен (MTG-1000 и др.); переговорные решения.</t>
  </si>
  <si>
    <t xml:space="preserve">Скидки до 40% на готовые бесшовные видеостены; контроллеры от 65 000 ₽; бесплатные консультации и расчёт конфигурации; партнёрская программа.</t>
  </si>
  <si>
    <t xml:space="preserve">Прямой конкурент по интерактивным киоскам и видеостенам — сравнить прайсинг (контроллеры от 65 000 ₽, скидки до 40%) и линейку продуктов для бенчмаркинга Simple Touch.</t>
  </si>
  <si>
    <t xml:space="preserve">Telegram @video\_stena — содержание не проверено детально.</t>
  </si>
  <si>
    <t xml:space="preserve">Производитель интерактивных киосков и видеостен — прямой конкурент</t>
  </si>
  <si>
    <t xml:space="preserve">Мониторить прайсинг и акции (скидки до 40%, контроллеры от 65 000 ₽) как бенчмарк</t>
  </si>
  <si>
    <t xml:space="preserve">https://video-stena.ru/</t>
  </si>
  <si>
    <t xml:space="preserve">Вписать название «ВидеоСтена», Тип → «Светодиодка» (производитель видеостен и киосков)</t>
  </si>
  <si>
    <t xml:space="preserve">Легион Проект</t>
  </si>
  <si>
    <t xml:space="preserve">legion-project.ru</t>
  </si>
  <si>
    <t xml:space="preserve">Легион Проект (Legion Group) — системный интегратор в области эргономики: инсталляция мультимедийного оборудования для ситуационных центров и диспетчерских, в т.ч. нефтегазовой отрасли.</t>
  </si>
  <si>
    <t xml:space="preserve">Ситуационные центры, диспетчерские пункты, центры сопровождения бурения (нефтегаз), залы совещаний и конференц-залы, системы кибербезопасности, аренда оборудования</t>
  </si>
  <si>
    <t xml:space="preserve">Нет на сайте: цен, скидок, гарантии, демо, партнёрской программы — только телефон и форма заявки</t>
  </si>
  <si>
    <t xml:space="preserve">Ниша в нефтегазовых центрах сопровождения бурения — узкая специализация, стоит предложить видеостены/LED под их профильные проекты</t>
  </si>
  <si>
    <t xml:space="preserve">https://legion-project.ru/</t>
  </si>
  <si>
    <t xml:space="preserve">Q Group</t>
  </si>
  <si>
    <t xml:space="preserve">kvantkm.ru</t>
  </si>
  <si>
    <t xml:space="preserve">Q Group — ИТ-интегратор, работает в России и Беларуси: сети, серверы/СХД, видеонаблюдение, ПК, инженерная инфраструктура, ПО.</t>
  </si>
  <si>
    <t xml:space="preserve">Сети и связь; серверы и системы хранения; видеонаблюдение; персональные компьютеры; инженерная инфраструктура; программные решения.</t>
  </si>
  <si>
    <t xml:space="preserve">Telegram t.me/QGroupIT — канал без подписчиков и без видимых постов (пуст на момент проверки). Rutube rutube.ru/channel/55260579 — не детализирован.</t>
  </si>
  <si>
    <t xml:space="preserve">https://kvantkm.ru/</t>
  </si>
  <si>
    <t xml:space="preserve">ТРИПЛАН</t>
  </si>
  <si>
    <t xml:space="preserve">triplan.ru</t>
  </si>
  <si>
    <t xml:space="preserve">ТриПлан — коммуникационная группа полного цикла в мультимедийных и коммуникационных технологиях: визуальные события, высокотехнологичное оборудование.</t>
  </si>
  <si>
    <t xml:space="preserve">3D-маппинг-шоу (лазерные/проекционные), 3D-ковры CAMCARPETS для спортивных событий, аренда/продажа оборудования (проекторы, LED/голографические экраны), 3D-графика и контент, VR/MR, мобильные стенды</t>
  </si>
  <si>
    <t xml:space="preserve">Нет на сайте: цен, скидок, акций — только приглашение на консультацию</t>
  </si>
  <si>
    <t xml:space="preserve">Сильное портфолио на ВДНХ (стенды Самарской, Ставропольской области, «Город образования») — предложить связку: они шоу/контент, Simple Touch — производство стендов/LED</t>
  </si>
  <si>
    <t xml:space="preserve">YouTube youtube.com/channel/UC4VTqMAHMgVtBlpw1XC7blQ — активность не детализирована. Telegram/VK/Дзен/Rutube/Habr не найдены</t>
  </si>
  <si>
    <t xml:space="preserve">https://triplan.ru/</t>
  </si>
  <si>
    <t xml:space="preserve">SubProject</t>
  </si>
  <si>
    <t xml:space="preserve">subproject.ru</t>
  </si>
  <si>
    <t xml:space="preserve">Системный интегратор аудиовизуальных систем: проектирование, поставка, монтаж, сервис</t>
  </si>
  <si>
    <t xml:space="preserve">Переговорные и конференц-залы, ВКС, видеостены, LED, звук, системы управления</t>
  </si>
  <si>
    <t xml:space="preserve">Проект «под ключ», типовые решения для переговорных, сервисный контракт</t>
  </si>
  <si>
    <t xml:space="preserve">Упаковать типовые пакеты «переговорная S/M/L» с фиксированной ценой и сроком</t>
  </si>
  <si>
    <t xml:space="preserve">Сайт не открывается (ошибка SSL-сертификата — истёк срок действия)</t>
  </si>
  <si>
    <t xml:space="preserve">Умные Технологии</t>
  </si>
  <si>
    <t xml:space="preserve">smt-tech.ru</t>
  </si>
  <si>
    <t xml:space="preserve">Умные Технологии (СПб) — интеграция и поставка мультимедийного оборудования: комплексное оснащение объектов АВ-системами «под ключ».</t>
  </si>
  <si>
    <t xml:space="preserve">AV-инсталляции и интерактив, Digital Signage, мультимедиа для музеев, переговорные и конференц-залы, ситуационные центры, LED-экраны (indoor/outdoor)</t>
  </si>
  <si>
    <t xml:space="preserve">Нет на сайте: цен, скидок, сроков гарантии, демо, партнёрской программы — только общие фразы «оптимальные сроки»</t>
  </si>
  <si>
    <t xml:space="preserve">Нет соцсетей и офферов — предложить типовой пакет «переговорная S/M/L» с фикс-ценой и сроком</t>
  </si>
  <si>
    <t xml:space="preserve">https://smt-tech.ru/</t>
  </si>
  <si>
    <t xml:space="preserve">Викинг Проект</t>
  </si>
  <si>
    <t xml:space="preserve">viking.ru</t>
  </si>
  <si>
    <t xml:space="preserve">Викинг Проект (СПб) — комплексное оснащение диспетчерских, конференц-залов, музейных экспозиций, ситуационных центров и переговорных; интеграция, поставка, обслуживание и аренда AV-оборудования.</t>
  </si>
  <si>
    <t xml:space="preserve">Мультимедийные проекторы, профессиональные дисплеи и видеостены, проекционные экраны, музейные экспозиции, аренда оборудования, сервис и ремонт</t>
  </si>
  <si>
    <t xml:space="preserve">Нет на сайте: цен, скидок, гарантии, демо, партнёрской программы — только контактные телефоны</t>
  </si>
  <si>
    <t xml:space="preserve">Нет офферов на сайте — предложить типовой пакет «переговорная S/M/L» и производство под их музейные экспозиции</t>
  </si>
  <si>
    <t xml:space="preserve">VK vk.com/club202631182, YouTube — активность не детализирована. Telegram/Дзен/Rutube/Habr не найдены</t>
  </si>
  <si>
    <t xml:space="preserve">https://viking.ru/</t>
  </si>
  <si>
    <t xml:space="preserve">Акустические технологии</t>
  </si>
  <si>
    <t xml:space="preserve">amtrus.ru</t>
  </si>
  <si>
    <t xml:space="preserve">Новосибирск</t>
  </si>
  <si>
    <t xml:space="preserve">АМТ-Групп (Новосибирск) — группа компаний полного цикла проектных, строительных и инженерных работ (генподряд); не классический AV-интегратор, как предполагалось.</t>
  </si>
  <si>
    <t xml:space="preserve">Строительство полного цикла (генподряд), театрально-концертные технологии, чистые помещения (медицина), архитектурная акустика и звукоизоляция, многофункциональные интерьеры, архитектурное проектирование</t>
  </si>
  <si>
    <t xml:space="preserve">Нет на сайте: цен, скидок, гарантии — только бесплатная консультация/обратный звонок</t>
  </si>
  <si>
    <t xml:space="preserve">Компания — строительный генподрядчик, а не покупатель LED/AV-оборудования напрямую; переоценить роль — скорее возможный субподрядчик по акустике для наших театральных проектов, чем WL-покупатель</t>
  </si>
  <si>
    <t xml:space="preserve">VK vk.com/amtdesign, Одноклассники ok.ru/group/59016504737841 — активность не детализирована. Telegram/YouTube/Дзен/Rutube/Habr не найдены</t>
  </si>
  <si>
    <t xml:space="preserve">Генподрядчик строительства (театры, чистые помещения) — не прямой покупатель AV/LED, роль уточняется</t>
  </si>
  <si>
    <t xml:space="preserve">Уточнить, привлекают ли AV-оборудование как субподрядчики в своих проектах, или это чисто стройка/инженерка</t>
  </si>
  <si>
    <t xml:space="preserve">https://amtrus.ru/</t>
  </si>
  <si>
    <t xml:space="preserve">Генподрядчик — понизить приоритет до C</t>
  </si>
  <si>
    <t xml:space="preserve">smart-rooms.ru</t>
  </si>
  <si>
    <t xml:space="preserve">SMART ROOMS — внедрение и сопровождение мультимедийных решений для переговорных и конференц-залов; с 2015 г.</t>
  </si>
  <si>
    <t xml:space="preserve">Типовые конфигурации переговорных SMR 100-700, ВКС (софт и железо), видеоотображение и видеостены, звукоусиление и конференц-системы, монтаж и ПНР, проектирование</t>
  </si>
  <si>
    <t xml:space="preserve">Цены от 159 000₽ (рабочее место) до 5 800 000₽ (конференц-зал), фиксированная цена без изменений по ходу проекта, внедрение от 1 рабочего дня, гарантия производителей, бесплатный расчёт проекта</t>
  </si>
  <si>
    <t xml:space="preserve">У SMART ROOMS готовая линейка из 7 типовых пакетов SMR 100-700 с открытыми ценами от 159 000₽ — точная реализация идеи «переговорная S/M/L» с фикс-ценой, взять за образец</t>
  </si>
  <si>
    <t xml:space="preserve">Telegram t.me/Incomf, WhatsApp — активность не детализирована</t>
  </si>
  <si>
    <t xml:space="preserve">https://smart-rooms.ru/</t>
  </si>
  <si>
    <t xml:space="preserve">СПИНЕТИКС</t>
  </si>
  <si>
    <t xml:space="preserve">dstools.ru</t>
  </si>
  <si>
    <t xml:space="preserve">DSTOOLS/SpinetiX Russia («Цифровые вывески») — разработчик ПО для digital signage и официальный сервис-партнёр SpinetiX в РФ (с 2007 г.).</t>
  </si>
  <si>
    <t xml:space="preserve">123CMS (система управления контентом), медиаплееры EMP-III (4К, сети до 1000+ экранов) и iBX440 (для видеостен/LED, 4 синхр. HDMI-выхода); оборудование SpinetiX — склад, гарантия, ремонт; 250+ виджетов; создание контента; обучение (academy.dstools.ru).</t>
  </si>
  <si>
    <t xml:space="preserve">6 месяцев кастомизации 123CMS включено; партнёрская программа с партнёрским порталом (project.dstools.ru); RMA и полный мониторинг сети. Цен «от» на сайте нет.</t>
  </si>
  <si>
    <t xml:space="preserve">Перенять концепцию интерактивных навигационных киосков (wayfinding) и решений для корпоративных музеев, которые SpinetiX продвигает на выставках — предложить готовый пакет «киоск + CMS-контент» для музейных/корпоративных пространств Simple Touch.</t>
  </si>
  <si>
    <t xml:space="preserve">Telegram t.me/spinetix — активен, посты неск. раз/неделю (последние \~15-17.09.2026): выставка Light+Audio Tec 2026, конференция по корпоративному мультимедиа, тема корпоративных музеев. VK spinetixrussia — не детализирован.</t>
  </si>
  <si>
    <t xml:space="preserve">Технологический партнёр (контент для экранов)</t>
  </si>
  <si>
    <t xml:space="preserve">https://dstools.ru/ ; https://t.me/s/spinetix</t>
  </si>
  <si>
    <t xml:space="preserve">БЛС</t>
  </si>
  <si>
    <t xml:space="preserve">bls-pro.ru</t>
  </si>
  <si>
    <t xml:space="preserve">БЛС (BLS) — российский мультимедийный интегратор (15+ лет, 24+ города РФ): проекты «под ключ» от идеи до реализации, 500+ проектов.</t>
  </si>
  <si>
    <t xml:space="preserve">Мультимедиа для переговорных, концертных залов и театров; видеостены и LED-экраны; интерактивные доски/панели; проекторы; звуковые системы; медиафасады; видеонаблюдение; digital signage; 3D-мэппинг; более 17 000 товаров в каталоге.</t>
  </si>
  <si>
    <t xml:space="preserve">Проектирование от 100 000 ₽; поставка и комплексные пакеты — «цена по согласованию»; бесплатные консультации экспертов; сертификация Extron и iRidi.</t>
  </si>
  <si>
    <t xml:space="preserve">Перенять модель прозрачной входной цены на проектирование («от 100 000 ₽») как формат прайсинга для консультационных/проектных услуг Simple Touch — снижает порог входа для клиента.</t>
  </si>
  <si>
    <t xml:space="preserve">Telegram t.me/kpk669, Rutube rutube.ru/channel/49183451 — содержание не проверено детально.</t>
  </si>
  <si>
    <t xml:space="preserve">https://bls-pro.ru/</t>
  </si>
  <si>
    <t xml:space="preserve">ОПТИМУС КОНСАЛТ</t>
  </si>
  <si>
    <t xml:space="preserve">optimusconsult.ru</t>
  </si>
  <si>
    <t xml:space="preserve">Optimus Consult — московский интегратор образовательных технологий (с 2012 г.): решения для поддержки учебного процесса.</t>
  </si>
  <si>
    <t xml:space="preserve">Гибридные аудитории «под ключ»; видеостудии для образования; платформы дистанционного обучения (Panopto); проекторы, интерактивные доски, видеостены, звук, камеры, компьютеры; проектирование и монтаж.</t>
  </si>
  <si>
    <t xml:space="preserve">Бесплатное тестирование оборудования; спецусловия для образовательных учреждений; сертифицированный монтаж по международным стандартам; работа с 44-ФЗ/223-ФЗ. Цен «от» и % скидок на сайте нет.</t>
  </si>
  <si>
    <t xml:space="preserve">Перенять офер «бесплатное тестирование оборудования перед покупкой» — предлагать образовательным/корпоративным клиентам тестовый период для интерактивных панелей/киосков Simple Touch.</t>
  </si>
  <si>
    <t xml:space="preserve">https://optimusconsult.ru/</t>
  </si>
  <si>
    <t xml:space="preserve">Эддреалити</t>
  </si>
  <si>
    <t xml:space="preserve">addreality.com</t>
  </si>
  <si>
    <t xml:space="preserve">Addreality — российская SaaS-платформа Digital Signage для управления контентом на экранах; заявляет рост продаж клиентов до 30%.</t>
  </si>
  <si>
    <t xml:space="preserve">Управление контентом на экранах, «умная» трансляция (погода/время/аудитория), видеоаналитика посетителей, прямая и programmatic-реклама, аудиооформление, корпоративное ТВ, медиаплеер Arenity Box</t>
  </si>
  <si>
    <t xml:space="preserve">14 дней бесплатного доступа к полному функционалу, гибкие тарифы по числу устройств, партнёрская программа для дилеров/реселлеров, прайс-лист SaaS 2026 (по ссылке на Я.Диск)</t>
  </si>
  <si>
    <t xml:space="preserve">У Addreality понятная модель: бесплатный триал 14 дней + подписка по устройствам — Simple Touch может предложить пакет «экран + подписка на контент-платформу» как повторную выручку</t>
  </si>
  <si>
    <t xml:space="preserve">Telegram t.me/addreality\_professionals, VK vk.com/addreality, YouTube, LinkedIn — активность не детализирована</t>
  </si>
  <si>
    <t xml:space="preserve">Запросить партнёрские условия: предустановка платформы в наши экраны и киоски</t>
  </si>
  <si>
    <t xml:space="preserve">https://addreality.com/</t>
  </si>
  <si>
    <t xml:space="preserve">ДИСОФТ/МЭИ</t>
  </si>
  <si>
    <t xml:space="preserve">дисофт.рф</t>
  </si>
  <si>
    <t xml:space="preserve">ДИСОФТ (дисофт.рф) — «производитель и интегратор техники нового поколения»: LED-экраны и мультимедийное оборудование для актовых залов; огромный портфель госзаказов (вузы, школы, ДК, администрации).</t>
  </si>
  <si>
    <t xml:space="preserve">LED-экраны (indoor, кабинетные/монолитные, шаг пикселя 0.9-5мм), мультимедийное оборудование для актовых залов, ПО «Платформа Дисофт» (реестр Минцифры №17612), системы звука/ВКС, комплексный монтаж по всей РФ</t>
  </si>
  <si>
    <t xml:space="preserve">Гарантия от 3 лет на оборудование, несколько складов — оборудование в наличии под срочную закупку, 40 монтажников в штате + бригады по РФ, индивидуальный подбор под нестандартные задачи. Открытых цен на сайте нет</t>
  </si>
  <si>
    <t xml:space="preserve">У ДИСОФТ — собственное ПО в реестре Минцифры (№17612) — даёт преимущество в гостендерах (импортозамещение); Simple Touch стоит рассмотреть регистрацию своего ПО/продукции в реестре Минцифры</t>
  </si>
  <si>
    <t xml:space="preserve">Соцсети на сайте не найдены (только телефон/email)</t>
  </si>
  <si>
    <t xml:space="preserve">Тайный покупатель: запросить КП на экран 3×2 м indoor и 6×3 м outdoor — сравнить цену, сроки, гарантию (у них от 3 лет), подачу КП</t>
  </si>
  <si>
    <t xml:space="preserve">https://дисофт.рф/</t>
  </si>
  <si>
    <t xml:space="preserve">Дигитон Системс</t>
  </si>
  <si>
    <t xml:space="preserve">digiton.ru</t>
  </si>
  <si>
    <t xml:space="preserve">Дигитон Системс (СПб) — российский производитель оборудования и ПО для радио/ТВ-вещания (с 1990 г.), пионер отечественной автоматизации эфира.</t>
  </si>
  <si>
    <t xml:space="preserve">Эфирные пульты, FM-передатчики, IP-кодеки, микрофоны, студийная мебель, блоки питания; собственная линейка DIGILINE; ПО автоматизации SYNADYN; проектирование студий, акустический консалтинг, монтаж, обучение персонала, ремонт.</t>
  </si>
  <si>
    <t xml:space="preserve">Не пересекается с профилем Simple Touch — явной применимой идеи не найдено.</t>
  </si>
  <si>
    <t xml:space="preserve">https://digiton.ru/</t>
  </si>
  <si>
    <t xml:space="preserve">MEDIASCREEN</t>
  </si>
  <si>
    <t xml:space="preserve">mediascreen.pro</t>
  </si>
  <si>
    <t xml:space="preserve">MediaScreen — проектирование и производство светодиодных экранов, медиафасадов и видеоэкранов «под ключ» с монтажом по всей РФ.</t>
  </si>
  <si>
    <t xml:space="preserve">Медиафасады для зданий/ТЦ, уличные видеоэкраны и витрины, интерьерные LED-экраны, напольные видеопилоны, бегущие строки и информационные дисплеи, проектирование/монтаж/сервис</t>
  </si>
  <si>
    <t xml:space="preserve">Уличные экраны от 120 000₽/м², интерьерные от 55 000₽/м²; гарантия 2 года. Примеры: экран 0,8×2,88м — от 55 000₽, медиафасад 3,84×5,92м — от 1 800 000₽, видеопилон 0,96×1,92м — от 204 000₽</t>
  </si>
  <si>
    <t xml:space="preserve">У MediaScreen детальные цены «от» с примерами готовых конфигураций и итоговой суммой — Simple Touch стоит показывать не только цену за м², но и готовые примеры «размер → итоговая цена»</t>
  </si>
  <si>
    <t xml:space="preserve">Личный Telegram-контакт менеджера t.me/Alex007181 (не канал), WhatsApp. VK/YouTube/Дзен/Rutube/Habr не найдены</t>
  </si>
  <si>
    <t xml:space="preserve">Тайный покупатель: запросить КП на экран 3×2 м indoor и 6×3 м outdoor — сравнить цену, сроки, гарантию (у них 2 года), подачу КП</t>
  </si>
  <si>
    <t xml:space="preserve">https://mediascreen.pro/</t>
  </si>
  <si>
    <t xml:space="preserve">Вижен Сервис</t>
  </si>
  <si>
    <t xml:space="preserve">visiontm.ru</t>
  </si>
  <si>
    <t xml:space="preserve">Vixen Service (СПб) — интегратор LED-экранов, мультимедийных систем и архитектурной подсветки зданий; на рынке с 2003 г.</t>
  </si>
  <si>
    <t xml:space="preserve">LED-экраны (в т.ч. для стадионов), мультимедийные системы, архитектурная/художественная подсветка зданий, видеонаблюдение; полный цикл: проект, поставка, монтаж, запуск, обслуживание; работа с зарубежными поставщиками, растаможка.</t>
  </si>
  <si>
    <t xml:space="preserve">Крупный опыт инсталляций LED-экранов на стадионах (Газпром Арена, ЧМ-2018) — рассмотреть как канал для проектов Simple Touch в спортивной/зрелищной сфере, если есть пересечение по сегменту.</t>
  </si>
  <si>
    <t xml:space="preserve">https://visiontm.ru/</t>
  </si>
  <si>
    <t xml:space="preserve">Plentystars</t>
  </si>
  <si>
    <t xml:space="preserve">plentystars.com</t>
  </si>
  <si>
    <t xml:space="preserve">Plentystars — дистрибьютор с добавленной стоимостью проф. АВ и unified communications решений для интеграторов и реселлеров (офисы в Армении и на Кипре).</t>
  </si>
  <si>
    <t xml:space="preserve">Решения для переговорных/митинг-румов; АВ-инфраструктура для конференц-центров; автоматизация и управление; видеостены и дисплеи (LED, видеопроцессоры); digital signage (брендинг, навигация); command &amp; control для критичных сред.</t>
  </si>
  <si>
    <t xml:space="preserve">Компания вне российского рынка (Армения/Кипр) — прямой применимости к Simple Touch не найдено; возможный канал выхода на рынки СНГ/Армении при необходимости.</t>
  </si>
  <si>
    <t xml:space="preserve">https://plentystars.com/</t>
  </si>
  <si>
    <t xml:space="preserve">Индико Трейд</t>
  </si>
  <si>
    <t xml:space="preserve">indikotrade.ru</t>
  </si>
  <si>
    <t xml:space="preserve">Индико Трейд — московский системный интегратор АВ-решений для бизнеса, образования и госорганизаций: полный цикл от проекта до монтажа.</t>
  </si>
  <si>
    <t xml:space="preserve">Проекторы (домашний кинотеатр, короткофокусные, 4K, лазерные), профессиональные дисплеи и интерактивные панели, акустика, оборудование ВКС, системы управления и коммутации (Crestron), digital signage, системы бронирования переговорных.</t>
  </si>
  <si>
    <t xml:space="preserve">Цены на сайте не публичны («обратитесь к менеджерам»); услуги проектирования, поставки и монтажа. Конкретных цен «от», скидок или гарантии с цифрами нет.</t>
  </si>
  <si>
    <t xml:space="preserve">VK vk.com/hifi.acustic, YouTube — содержание не проверено детально.</t>
  </si>
  <si>
    <t xml:space="preserve">https://indikotrade.ru/</t>
  </si>
  <si>
    <t xml:space="preserve">Новые Технологии</t>
  </si>
  <si>
    <t xml:space="preserve">ledts.ru</t>
  </si>
  <si>
    <t xml:space="preserve">LEDTS (Новые Технологии, Екатеринбург) — производство и продажа LED-экранов: полный цикл от проектирования до монтажа под ключ.</t>
  </si>
  <si>
    <t xml:space="preserve">Медиафасады, LED-экраны для помещений и уличные табло, гибкие экраны, экраны для сцены и спорта, экраны для магазинов/ТЦ, монтаж и доставка</t>
  </si>
  <si>
    <t xml:space="preserve">Гарантия от 1 до 3 лет (без точной привязки к типу), срок производства/монтажа от 1 до 30 рабочих дней. Цен за м² и калькулятора на сайте нет</t>
  </si>
  <si>
    <t xml:space="preserve">У LEDTS нет калькулятора и точных цен — Simple Touch может выигрывать прозрачным онлайн-расчётом стоимости</t>
  </si>
  <si>
    <t xml:space="preserve">Telegram t.me/LEDTS4YOU, VK vk.com/ledts, YouTube — активность не детализирована</t>
  </si>
  <si>
    <t xml:space="preserve">https://ledts.ru/</t>
  </si>
  <si>
    <t xml:space="preserve">СВ ТЕЛЕКОМ</t>
  </si>
  <si>
    <t xml:space="preserve">sv-telekom.ru</t>
  </si>
  <si>
    <t xml:space="preserve">Сайт не открывается (ошибка SSL-соединения: SSLV3\_ALERT\_HANDSHAKE\_FAILURE; браузер также не смог загрузить страницу)</t>
  </si>
  <si>
    <t xml:space="preserve">АВ системы</t>
  </si>
  <si>
    <t xml:space="preserve">avi-systems.ru</t>
  </si>
  <si>
    <t xml:space="preserve">Пермь</t>
  </si>
  <si>
    <t xml:space="preserve">АВ Системы (Пермь) — интегратор АВ-оборудования: сферические экраны, полнокупольные планетарии, ВКС, видеостены, проекторы; работа по РФ и СНГ.</t>
  </si>
  <si>
    <t xml:space="preserve">ВКС-системы, сферические экраны, полнокупольные планетарийные комплексы, авиатренажёры/симуляторы полёта, видеостены, мультимедийные проекторы, монтаж и обслуживание, обучающие семинары для персонала.</t>
  </si>
  <si>
    <t xml:space="preserve">Гарантия до 3 лет на работы и оборудование; бесплатное предпроектное проектирование и консультации; доставка по РФ; решения «под ключ»; участие в госзакупках.</t>
  </si>
  <si>
    <t xml:space="preserve">Сравнить гарантию: у Simple Touch — до 5 лет против 3 лет у АВ Системы; использовать длинную гарантию как аргумент. Также — идея бесплатного предпроектного консультирования как элемент воронки продаж.</t>
  </si>
  <si>
    <t xml:space="preserve">Telegram t.me/avi\_systems — низкая активность (последние найденные посты \~июль 2024, более года назад): темы полнокупольных планетариев для мероприятий и образования. VK vk.com/domesky — не детализирован.</t>
  </si>
  <si>
    <t xml:space="preserve">https://avi-systems.ru/ ; https://t.me/s/avi\_systems</t>
  </si>
  <si>
    <t xml:space="preserve">1000 Дюймов</t>
  </si>
  <si>
    <t xml:space="preserve">1000inch.ru</t>
  </si>
  <si>
    <t xml:space="preserve">1000 Дюймов — российский производитель и интегратор видеостен/LED-экранов под собственным брендом zFlex (с 2013 г.), есть опыт интерактивных киосков (Гохран России, Кремль).</t>
  </si>
  <si>
    <t xml:space="preserve">ЖК-панели и контроллеры видеостен zFlex собств. пр-ва; официальный дилер Samsung/LG/Philips; LED-экраны (шаг 0,8-4мм); типовые видеостены 5 классов (Эконом-VIP+); кронштейны под заказ; интерактивные сенсорные киоски (проект для Гохрана).</t>
  </si>
  <si>
    <t xml:space="preserve">2 онлайн-калькулятора с ценами; скидка 10% при заявке из калькулятора; кронштейн в подарок до 05.10.2026 (экономия до 300 000 ₽); лизинг от 24 599 ₽/мес (взнос 10%, ставка 10-20%); гарантия 3 года; поставка за 2 недели.</t>
  </si>
  <si>
    <t xml:space="preserve">Прямой конкурент-производитель: перенять онлайн-калькулятор с точными ценами «под ключ» — прозрачный расчёт стоимости экрана/киоска на сайте Simple Touch повышает конверсию заявок.</t>
  </si>
  <si>
    <t xml:space="preserve">VK vk.com/inch1000 — содержание не проверено детально.</t>
  </si>
  <si>
    <t xml:space="preserve">Производитель видеостен/LED-экранов и интерактивных киосков (собств. бренд zFlex) — прямой конкурент</t>
  </si>
  <si>
    <t xml:space="preserve">Изучить онлайн-калькулятор и прайсинг (контроллер \~656 тыс. ₽, панели 55" от 222 до 727 тыс. ₽) как бенчмарк</t>
  </si>
  <si>
    <t xml:space="preserve">https://1000inch.ru/</t>
  </si>
  <si>
    <t xml:space="preserve">Тип → «Светодиодка»: это производитель (бренд zFlex), а не дистрибьютор</t>
  </si>
  <si>
    <t xml:space="preserve">ЭКРАНПРО</t>
  </si>
  <si>
    <t xml:space="preserve">ekranpro.ru</t>
  </si>
  <si>
    <t xml:space="preserve">EKRANPRO (Екатеринбург) — производитель и установщик LED-экранов и видеостен: проектирование, изготовление, монтаж по РФ и СНГ с 2010 г., сервис и поддержка.</t>
  </si>
  <si>
    <t xml:space="preserve">Интерьерные LED-экраны (шаг пикселя 1,53-4мм), уличные экраны (10 000 нит), медиафасады, прокатные экраны, LCD видеостены 49-55", прозрачные и гибкие LED-экраны</t>
  </si>
  <si>
    <t xml:space="preserve">Цены от 34 781₽/м² (SP 4) до 2 089 775₽/м² (Umicro 0,7); гарантия 5 лет полная + 10 лет бесплатной техподдержки; реализация проекта за 4 дня при наличии на складе; калькулятор на сайте (/other/calculator-2/)</t>
  </si>
  <si>
    <t xml:space="preserve">У EKRANPRO гарантия 5 лет + 10 лет бесплатной техподдержки — совпадает и даже превосходит гарантию Simple Touch (до 5 лет); стоит пересмотреть послегарантийную поддержку как отличие</t>
  </si>
  <si>
    <t xml:space="preserve">Telegram t.me/ekranpro — похоже на контакт-карту без активных постов («поставка и установка... с 2010г»). Также VK vk.com/ekrpro, YouTube — не детализированы</t>
  </si>
  <si>
    <t xml:space="preserve">Тайный покупатель: запросить КП на экран 3×2 м indoor и 6×3 м outdoor — сравнить цену, сроки, гарантию (5 лет + 10 лет техподдержки), подачу КП</t>
  </si>
  <si>
    <t xml:space="preserve">https://ekranpro.ru/ ; https://ekranpro.ru/other/calculator-2/</t>
  </si>
  <si>
    <t xml:space="preserve">Гарантия 5 лет + 10 лет техподдержки — наш «до 5 лет» здесь не отличие; см. задачу по гарантии</t>
  </si>
  <si>
    <t xml:space="preserve">Тефра Аудио</t>
  </si>
  <si>
    <t xml:space="preserve">tefra-audio.ru</t>
  </si>
  <si>
    <t xml:space="preserve">Тефра Аудио — российский производитель акустических систем на основе мембранной технологии звучания («новая звуковая реальность»).</t>
  </si>
  <si>
    <t xml:space="preserve">Акустические системы серий Agilera, Platanar, Nevis, Demon, Etna, Misti; услуги монтажа и интеграции; калибровка и обучение клиентов; 6 демо-точек прослушивания по России (студии, клубы, инновационные центры).</t>
  </si>
  <si>
    <t xml:space="preserve">Партнёрская программа через дистрибьюторов и интеграторов. Конкретных цен «от», скидок, гарантии или акций на сайте нет.</t>
  </si>
  <si>
    <t xml:space="preserve">Перенять идею сети демо-точек прослушивания/показа по регионам России — организовать похожую сеть демо-зон для линейки экранов/киосков Simple Touch в разных городах.</t>
  </si>
  <si>
    <t xml:space="preserve">https://tefra-audio.ru/</t>
  </si>
  <si>
    <t xml:space="preserve">Milestone Projects</t>
  </si>
  <si>
    <t xml:space="preserve">mile-pro.ru</t>
  </si>
  <si>
    <t xml:space="preserve">Сайт не открывается (домен не резолвится — DNS-ошибка, проверено через WebFetch и браузер)</t>
  </si>
  <si>
    <t xml:space="preserve">ПРО Аудио и Световые Системы</t>
  </si>
  <si>
    <t xml:space="preserve">pa-pro.ru</t>
  </si>
  <si>
    <t xml:space="preserve">ПРО Аудио и Световые Системы — российский дистрибьютор/интегратор проф. звукового и светового оборудования для культурных и спортивных объектов.</t>
  </si>
  <si>
    <t xml:space="preserve">Акустические системы (линейные массивы), усилители, DSP-процессоры, микрофоны, микшерные пульты, студийный мониторинг, коммерческий звук (потолочные/настенные колонки), интерком, кабельные системы; аренда оборудования; акустический консалтинг; обучение персонала.</t>
  </si>
  <si>
    <t xml:space="preserve">Telegram t.me/ProAudioAndLightSystems, VK, YouTube — содержание не проверено детально.</t>
  </si>
  <si>
    <t xml:space="preserve">https://pa-pro.ru/ ; https://t.me/ProAudioAndLightSystems</t>
  </si>
  <si>
    <t xml:space="preserve">КИС</t>
  </si>
  <si>
    <t xml:space="preserve">kits-pro.ru</t>
  </si>
  <si>
    <t xml:space="preserve">КИС (Комплексные Информационные Системы) — российский ИТ-интегратор (8+ лет, 300+ проектов): полный цикл внедрения инфраструктуры под задачи бизнеса.</t>
  </si>
  <si>
    <t xml:space="preserve">Сети передачи данных; вычислительные системы и СХД; информационная безопасность; унифицированные коммуникации; мультимедийное оборудование и конференц-решения; видеонаблюдение и видеоаналитика; Wi-Fi-сети; переход на отечественное ПО/оборудование (реестр ТОРП).</t>
  </si>
  <si>
    <t xml:space="preserve">Гарантийное и постгарантийное обслуживание; предпроектные работы, проектирование, монтаж, настройка; собственная лаборатория для тестирования решений; собственный склад. Цен «от» и % скидок на сайте нет.</t>
  </si>
  <si>
    <t xml:space="preserve">Перенять идею собственной демо-лаборатории для тестирования решений перед покупкой — открыть/продвигать шоурум Simple Touch для тест-драйва экранов и киосков клиентами.</t>
  </si>
  <si>
    <t xml:space="preserve">VK vk.com/kits\_proav — содержание не проверено детально (VK не открывается инструментом проверки).</t>
  </si>
  <si>
    <t xml:space="preserve">https://kits-pro.ru/</t>
  </si>
  <si>
    <t xml:space="preserve">Медиасистем ГРУП</t>
  </si>
  <si>
    <t xml:space="preserve">avms.ru</t>
  </si>
  <si>
    <t xml:space="preserve">Медиасистем Груп — московский провайдер аренды и техподдержки мультимедийного оборудования для мероприятий (20+ лет на рынке).</t>
  </si>
  <si>
    <t xml:space="preserve">LED-экраны (SMD/GOB/COB), LED-меш дисплеи, ЖК-панели (43-100"), интерактивные сенсорные дисплеи (32-86"), прозрачные интерактивные киоски (30", 55"), звуковое и конференц-оборудование, бесшовные видеостены, системы управления видеосигналом, видеокамеры и трансляции.</t>
  </si>
  <si>
    <t xml:space="preserve">Комплексное обслуживание: консалтинг, проектирование, монтаж, техподдержка; регулярно обновляемый парк оборудования. Цен «от», скидок или гарантии с цифрами на сайте нет.</t>
  </si>
  <si>
    <t xml:space="preserve">Обратить внимание на «прозрачные интерактивные киоски» (30"/55") в их линейке аренды — изучить формат как référence для собственной линейки Simple Touch; также рассмотреть партнёрство по аренде оборудования на мероприятиях.</t>
  </si>
  <si>
    <t xml:space="preserve">https://avms.ru/</t>
  </si>
  <si>
    <t xml:space="preserve">avclub.pro</t>
  </si>
  <si>
    <t xml:space="preserve">АВ Клуб — цифровая медиаплатформа и профессиональное сообщество AV-индустрии в России и СНГ, а не поставщик оборудования.</t>
  </si>
  <si>
    <t xml:space="preserve">Цифровой журнал (новости, экспертные статьи, кейсы, видео); онлайн-события и обучающий контент; отраслевые мероприятия/митапы; база экспертов отрасли; рекламные/спонсорские возможности для вендоров.</t>
  </si>
  <si>
    <t xml:space="preserve">Раздел «Рекламодателям» — платформа для продвижения вендоров среди профессионалов AV-рынка. Конкретных цен «от», скидок или гарантии на сайте нет (это не товарная компания).</t>
  </si>
  <si>
    <t xml:space="preserve">Использовать АВ Клуб как медиаканал: разместить экспертную статью/кейс о продукции Simple Touch или выступить на их отраслевом мероприятии для охвата AV-профессионалов.</t>
  </si>
  <si>
    <t xml:space="preserve">Медиаплатформа/отраслевое сообщество AV-рынка — не поставщик оборудования; интересен как рекламный/PR-канал</t>
  </si>
  <si>
    <t xml:space="preserve">Связаться по promo@avclub.pro для обсуждения размещения контента о Simple Touch</t>
  </si>
  <si>
    <t xml:space="preserve">https://avclub.pro/</t>
  </si>
  <si>
    <t xml:space="preserve">Тип → «Медиа»: использовать как канал публикаций, не как покупателя</t>
  </si>
  <si>
    <t xml:space="preserve">КВМ Технологии</t>
  </si>
  <si>
    <t xml:space="preserve">kvmtech.ru</t>
  </si>
  <si>
    <t xml:space="preserve">КВМ Технологии — российский разработчик и поставщик KVM-решений: диспетчерские, ситуационные и командные центры (300+ проектов).</t>
  </si>
  <si>
    <t xml:space="preserve">KVM-коммутаторы и удлинители (российские и зарубежные); АВ-оборудование; оборудование для серверных; крепления и кронштейны; диспетчерская мебель; сервисный центр и техподдержка; обучение; мобильные командные комплексы.</t>
  </si>
  <si>
    <t xml:space="preserve">Нет прямой применимой идеи; можно отметить нишу диспетчерских/ситуационных центров как смежный сегмент, где могут быть полезны видеостены/панели Simple Touch.</t>
  </si>
  <si>
    <t xml:space="preserve">VK vk.com/kvmtech, Facebook, YouTube — содержание не проверено детально.</t>
  </si>
  <si>
    <t xml:space="preserve">http://www.kvmtech.ru/</t>
  </si>
  <si>
    <t xml:space="preserve">Вижуалпоинт</t>
  </si>
  <si>
    <t xml:space="preserve">visualpoint.ru</t>
  </si>
  <si>
    <t xml:space="preserve">VISUALPOINT — российский поставщик проф. АВ-оборудования: комплексное оснащение конференц-залов, школ и учреждений (поставка, монтаж, обучение).</t>
  </si>
  <si>
    <t xml:space="preserve">Акустика, микрофоны, микшеры, усилители; проекторы, проф. дисплеи, видеостены, LED-экраны, ВКС; интерактивные панели; сценический DMX-свет; системы записи/стриминга; экраны, кабельная продукция, крепёж, видеонаблюдение, автоматизация.</t>
  </si>
  <si>
    <t xml:space="preserve">Бесплатный выезд, консультация и замеры на объекте; расчёт нескольких вариантов бюджета; фиксированная «всё включено» цена (поставка+монтаж+программирование+обучение); гарантия и постпродажная поддержка.</t>
  </si>
  <si>
    <t xml:space="preserve">Перенять формат бесплатного выезда с замерами и несколькими вариантами бюджета «под ключ» — упрощает решение клиента о покупке экрана/киоска Simple Touch.</t>
  </si>
  <si>
    <t xml:space="preserve">Telegram t.me/provisualpoint — активен, частые посты (несколько в день): фотоотчёты по завершённым проектам — школы, больницы, вузы, детские технические центры. VK vk.com/avvisualpoint — не детализирован.</t>
  </si>
  <si>
    <t xml:space="preserve">https://visualpoint.ru/ ; https://t.me/s/provisualpoint "Выручка подтягивается формулой из листа «База». Банана Брэд: в «Базе» две строки (229 и 169 млн) — взята первая. Колонки со ★ — экспертные</t>
  </si>
  <si>
    <t xml:space="preserve">Колонки A–P — результат проверки агентом 25.09.2026. Q — что доработать (жёлтым). R–V — для прозвона, заполняет команда. Оранжевым в O — сайт не открылся, данные в строке шаблонные.</t>
  </si>
  <si>
    <t xml:space="preserve">Сводка по проверенной таблице</t>
  </si>
  <si>
    <t xml:space="preserve">Всего компаний</t>
  </si>
  <si>
    <t xml:space="preserve">Проверено агентом (сайт открылся)</t>
  </si>
  <si>
    <t xml:space="preserve">Сайт не открылся / требует ручной проверки</t>
  </si>
  <si>
    <t xml:space="preserve">Приоритет A — партнёрство сейчас</t>
  </si>
  <si>
    <t xml:space="preserve">Приоритет A (мониторинг) — прямые конкуренты</t>
  </si>
  <si>
    <t xml:space="preserve">Приоритет B</t>
  </si>
  <si>
    <t xml:space="preserve">Приоритет C</t>
  </si>
  <si>
    <t xml:space="preserve">Строк с пометкой «что доработать»</t>
  </si>
  <si>
    <t xml:space="preserve">Главные выводы после проверки</t>
  </si>
  <si>
    <t xml:space="preserve">1. Рынок LED стал прозрачным по цене: Детектор, Экранпро, GTLight, MediaScreen публикуют цены «от» и калькуляторы. Закрытая цена теперь минус, а не норма.</t>
  </si>
  <si>
    <t xml:space="preserve">2. Гарантия «до 5 лет» — уже не уникальна: у Экранпро 5 лет + 10 лет техподдержки, у GTLight до 5 лет. Отличие надо собирать из связки: своё производство + завод в Китае + ширина ассортимента + сервисные обязательства.</t>
  </si>
  <si>
    <t xml:space="preserve">3. Скорость КП — новое поле конкуренции: 2 часа (Интэч), от 3 часов (DIXTEN), 1 день (АВС).</t>
  </si>
  <si>
    <t xml:space="preserve">4. Средние AV-интеграторы почти все без цен, без офферов и без соцсетей — им нужен производитель под их бренд. Это главный канал партнёрки.</t>
  </si>
  <si>
    <t xml:space="preserve">5. Музейные студии (Visuals, Банана Брэд, Филин, Триплан, ПМТ) — без собственного производства железа: лучшие партнёры для музейного направления.</t>
  </si>
  <si>
    <t xml:space="preserve">6. Telegram в отрасли ведут единицы, и выигрывают те, кто постит фотоотчёты с объектов каждый день. Для личного бренда Андрея ниша почти свободна.</t>
  </si>
  <si>
    <t xml:space="preserve">План действий — на листе «Задачи». Цены и офферы конкурентов — на листе «Бенчмарк цен и офферов».</t>
  </si>
  <si>
    <t xml:space="preserve">Что продаёт</t>
  </si>
  <si>
    <t xml:space="preserve">Цены на сайте</t>
  </si>
  <si>
    <t xml:space="preserve">Гарантия</t>
  </si>
  <si>
    <t xml:space="preserve">Калькулятор / скорость КП</t>
  </si>
  <si>
    <t xml:space="preserve">Офферы, которые стоит забрать</t>
  </si>
  <si>
    <t xml:space="preserve">Детектор (Detector Group)</t>
  </si>
  <si>
    <t xml:space="preserve">LED, видеостены</t>
  </si>
  <si>
    <t xml:space="preserve">от 25 000 ₽/м² улица, от 38 000 ₽/м² интерьер, от 40 000 ₽/м² гибкие; видеостены от 50 000 ₽/ед.</t>
  </si>
  <si>
    <t xml:space="preserve">нет на сайте</t>
  </si>
  <si>
    <t xml:space="preserve">Калькулятор на сайте</t>
  </si>
  <si>
    <t xml:space="preserve">Сетка цен «от» по каждому типу экрана</t>
  </si>
  <si>
    <t xml:space="preserve">от 34 781 ₽/м² до 2 089 775 ₽/м²</t>
  </si>
  <si>
    <t xml:space="preserve">5 лет + 10 лет бесплатной техподдержки</t>
  </si>
  <si>
    <t xml:space="preserve">Калькулятор; проект за 4 дня при наличии на складе</t>
  </si>
  <si>
    <t xml:space="preserve">Гарантия + длинная техподдержка как главный аргумент</t>
  </si>
  <si>
    <t xml:space="preserve">GTLight (Электронные Системы)</t>
  </si>
  <si>
    <t xml:space="preserve">LED, медиафасады</t>
  </si>
  <si>
    <t xml:space="preserve">от 14 000 ₽ бегущая строка, от 47 000 ₽/м² медиафасад, от 65 000 ₽/м² улица</t>
  </si>
  <si>
    <t xml:space="preserve">1–5 лет по типу оборудования</t>
  </si>
  <si>
    <t xml:space="preserve">Калькулятор; производство от 7 дней</t>
  </si>
  <si>
    <t xml:space="preserve">Срок производства в оффере</t>
  </si>
  <si>
    <t xml:space="preserve">MediaScreen</t>
  </si>
  <si>
    <t xml:space="preserve">от 55 000 ₽/м² интерьер, от 120 000 ₽/м² улица; примеры «размер → цена»</t>
  </si>
  <si>
    <t xml:space="preserve">2 года</t>
  </si>
  <si>
    <t xml:space="preserve">Готовые примеры конфигураций с итоговой суммой</t>
  </si>
  <si>
    <t xml:space="preserve">1000 Дюймов (zFlex)</t>
  </si>
  <si>
    <t xml:space="preserve">Видеостены, LED, киоски</t>
  </si>
  <si>
    <t xml:space="preserve">Цены в двух калькуляторах</t>
  </si>
  <si>
    <t xml:space="preserve">3 года</t>
  </si>
  <si>
    <t xml:space="preserve">Калькулятор; −10% за заявку из калькулятора</t>
  </si>
  <si>
    <t xml:space="preserve">Лизинг от 24 599 ₽/мес; подарок к заказу до 05.10</t>
  </si>
  <si>
    <t xml:space="preserve">ВидеоСтена (video-stena.ru)</t>
  </si>
  <si>
    <t xml:space="preserve">Контроллеры от 65 000 ₽; скидки до 40% на готовые видеостены</t>
  </si>
  <si>
    <t xml:space="preserve">Бесплатный расчёт конфигурации</t>
  </si>
  <si>
    <t xml:space="preserve">Скидка на готовые решения со склада</t>
  </si>
  <si>
    <t xml:space="preserve">HD LED Tech (ЭЙЧДИ)</t>
  </si>
  <si>
    <t xml:space="preserve">LED, своё производство</t>
  </si>
  <si>
    <t xml:space="preserve">На сайте цен нет; акции без цифр</t>
  </si>
  <si>
    <t xml:space="preserve">Расчёт по заявке</t>
  </si>
  <si>
    <t xml:space="preserve">Регулярные акции («ценопад»), активный Telegram 1–2 поста/день</t>
  </si>
  <si>
    <t xml:space="preserve">Киоски, интерактивные столы</t>
  </si>
  <si>
    <t xml:space="preserve">Нет</t>
  </si>
  <si>
    <t xml:space="preserve">до 36 мес.</t>
  </si>
  <si>
    <t xml:space="preserve">Аренда киосков; модели под ТЗ</t>
  </si>
  <si>
    <t xml:space="preserve">SMART ROOMS</t>
  </si>
  <si>
    <t xml:space="preserve">Переговорные под ключ</t>
  </si>
  <si>
    <t xml:space="preserve">7 пакетов SMR 100–700: от 159 000 ₽ до 5 800 000 ₽, фикс-цена</t>
  </si>
  <si>
    <t xml:space="preserve">гарантия производителей</t>
  </si>
  <si>
    <t xml:space="preserve">Внедрение от 1 рабочего дня</t>
  </si>
  <si>
    <t xml:space="preserve">Образец пакетов «переговорная S/M/L»</t>
  </si>
  <si>
    <t xml:space="preserve">Интэч (Intechirs)</t>
  </si>
  <si>
    <t xml:space="preserve">Мультимедиа, производство</t>
  </si>
  <si>
    <t xml:space="preserve">КП за 2 часа</t>
  </si>
  <si>
    <t xml:space="preserve">100% постоплата, бесплатная доставка, 375+ сервисных центров</t>
  </si>
  <si>
    <t xml:space="preserve">DIXTEN</t>
  </si>
  <si>
    <t xml:space="preserve">AV под ключ</t>
  </si>
  <si>
    <t xml:space="preserve">Расчёт от 3 часов</t>
  </si>
  <si>
    <t xml:space="preserve">Бесплатная доставка по РФ</t>
  </si>
  <si>
    <t xml:space="preserve">AV под ключ, 59 регионов</t>
  </si>
  <si>
    <t xml:space="preserve">«Цена производителя»</t>
  </si>
  <si>
    <t xml:space="preserve">12 мес. с подменным фондом</t>
  </si>
  <si>
    <t xml:space="preserve">КП за 1 день</t>
  </si>
  <si>
    <t xml:space="preserve">Выездной тест-драйв, 3D-визуализация, лизинг</t>
  </si>
  <si>
    <t xml:space="preserve">Видеостены, LED, ВКС</t>
  </si>
  <si>
    <t xml:space="preserve">доп. гарантия</t>
  </si>
  <si>
    <t xml:space="preserve">Лизинг, бесплатная визуализация, монтаж от 3 дней</t>
  </si>
  <si>
    <t xml:space="preserve">Vinteo / Open Vision</t>
  </si>
  <si>
    <t xml:space="preserve">ВКС</t>
  </si>
  <si>
    <t xml:space="preserve">Бесплатный пилот 30 дней</t>
  </si>
  <si>
    <t xml:space="preserve">LED, свой завод</t>
  </si>
  <si>
    <t xml:space="preserve">Нет цифр</t>
  </si>
  <si>
    <t xml:space="preserve">расширенная</t>
  </si>
  <si>
    <t xml:space="preserve">Калькулятор</t>
  </si>
  <si>
    <t xml:space="preserve">Личный кабинет дилера; экраны в реестре Минпромторга</t>
  </si>
  <si>
    <t xml:space="preserve">VISUALPOINT</t>
  </si>
  <si>
    <t xml:space="preserve">AV для школ, вузов</t>
  </si>
  <si>
    <t xml:space="preserve">Фикс «всё включено»</t>
  </si>
  <si>
    <t xml:space="preserve">есть</t>
  </si>
  <si>
    <t xml:space="preserve">Несколько вариантов бюджета</t>
  </si>
  <si>
    <t xml:space="preserve">Бесплатный выезд с замерами; TG с фотоотчётами несколько раз в день</t>
  </si>
  <si>
    <t xml:space="preserve">Источник: сайты компаний, проверка 25.09.2026 (колонки I и P листа «Анализ»). Цены и акции меняются — перед использованием в КП и рекламе перепроверить.</t>
  </si>
  <si>
    <t xml:space="preserve">сайт</t>
  </si>
  <si>
    <t xml:space="preserve">Выручка за 2023г, млн,</t>
  </si>
  <si>
    <t xml:space="preserve">Видау Медиа</t>
  </si>
  <si>
    <t xml:space="preserve">Инициум</t>
  </si>
  <si>
    <t xml:space="preserve">initium.ru</t>
  </si>
  <si>
    <t xml:space="preserve">АВИНТ</t>
  </si>
  <si>
    <t xml:space="preserve">avint.ru</t>
  </si>
  <si>
    <t xml:space="preserve">Вижуалидер</t>
  </si>
  <si>
    <t xml:space="preserve">visualeader.ru</t>
  </si>
  <si>
    <t xml:space="preserve">Lightdec</t>
  </si>
  <si>
    <t xml:space="preserve">lightdec.ru</t>
  </si>
  <si>
    <t xml:space="preserve">Дигискай</t>
  </si>
  <si>
    <t xml:space="preserve">digisky.ru</t>
  </si>
  <si>
    <t xml:space="preserve">8 Ом</t>
  </si>
  <si>
    <t xml:space="preserve">8ohm.ru</t>
  </si>
  <si>
    <t xml:space="preserve">Luxury Engineering</t>
  </si>
  <si>
    <t xml:space="preserve">Домашка</t>
  </si>
  <si>
    <t xml:space="preserve">luxeng.ru</t>
  </si>
  <si>
    <t xml:space="preserve">МедиаМонтаж</t>
  </si>
  <si>
    <t xml:space="preserve">mediamontazh.ru</t>
  </si>
  <si>
    <t xml:space="preserve">ЭлементМедиа</t>
  </si>
  <si>
    <t xml:space="preserve">elementmedia.ru</t>
  </si>
  <si>
    <t xml:space="preserve">213000322164</t>
  </si>
  <si>
    <t xml:space="preserve">Ривелти</t>
  </si>
  <si>
    <t xml:space="preserve">rivelty.ru</t>
  </si>
  <si>
    <t xml:space="preserve">Хайтекс</t>
  </si>
  <si>
    <t xml:space="preserve">hiteks.ru</t>
  </si>
  <si>
    <t xml:space="preserve">АЙТЕК</t>
  </si>
  <si>
    <t xml:space="preserve">i-tec.ru</t>
  </si>
  <si>
    <t xml:space="preserve">АКТРУ</t>
  </si>
  <si>
    <t xml:space="preserve">aktru.video</t>
  </si>
  <si>
    <t xml:space="preserve">Красный сектор</t>
  </si>
  <si>
    <t xml:space="preserve">redsector.ru</t>
  </si>
  <si>
    <t xml:space="preserve">InstaLand</t>
  </si>
  <si>
    <t xml:space="preserve">ledinstall.ru</t>
  </si>
  <si>
    <t xml:space="preserve">АМИЛЕД (Хорошие экраны)</t>
  </si>
  <si>
    <t xml:space="preserve">amiled.ru</t>
  </si>
  <si>
    <t xml:space="preserve">Альфабет медиа</t>
  </si>
  <si>
    <t xml:space="preserve">alfabetmedia.ru</t>
  </si>
  <si>
    <t xml:space="preserve">VidaVision</t>
  </si>
  <si>
    <t xml:space="preserve">vidavision.ru</t>
  </si>
  <si>
    <t xml:space="preserve">Иксплора</t>
  </si>
  <si>
    <t xml:space="preserve">xplora.ru</t>
  </si>
  <si>
    <t xml:space="preserve">Эдисон Медиа</t>
  </si>
  <si>
    <t xml:space="preserve">edisonmedia.ru</t>
  </si>
  <si>
    <t xml:space="preserve">Эддреалити Медиа</t>
  </si>
  <si>
    <t xml:space="preserve">Лайф Саунд</t>
  </si>
  <si>
    <t xml:space="preserve">lifesound.ru</t>
  </si>
  <si>
    <t xml:space="preserve">MediaSett</t>
  </si>
  <si>
    <t xml:space="preserve">mediasett.ru</t>
  </si>
  <si>
    <t xml:space="preserve">Эффорт Групп</t>
  </si>
  <si>
    <t xml:space="preserve">effort-group.ru</t>
  </si>
  <si>
    <t xml:space="preserve">XpertNet</t>
  </si>
  <si>
    <t xml:space="preserve">xpertnet.cx</t>
  </si>
  <si>
    <t xml:space="preserve">ЛайфИНтерактив</t>
  </si>
  <si>
    <t xml:space="preserve">lifeinteractive.ru</t>
  </si>
  <si>
    <t xml:space="preserve">АВИНД</t>
  </si>
  <si>
    <t xml:space="preserve">avind.ru</t>
  </si>
  <si>
    <t xml:space="preserve">AV3</t>
  </si>
  <si>
    <t xml:space="preserve">Трансляции</t>
  </si>
  <si>
    <t xml:space="preserve">av3.ru</t>
  </si>
  <si>
    <t xml:space="preserve">772458366967</t>
  </si>
  <si>
    <t xml:space="preserve">Hello IO</t>
  </si>
  <si>
    <t xml:space="preserve">hello.io</t>
  </si>
  <si>
    <t xml:space="preserve">9709023396
9701127876</t>
  </si>
  <si>
    <t xml:space="preserve">ЛЕД БЕРРИ</t>
  </si>
  <si>
    <t xml:space="preserve">led-berry.ru</t>
  </si>
  <si>
    <t xml:space="preserve">Business Ecosystems</t>
  </si>
  <si>
    <t xml:space="preserve">becsys.ru</t>
  </si>
  <si>
    <t xml:space="preserve">Апекс Лед</t>
  </si>
  <si>
    <t xml:space="preserve">apex-led.ru</t>
  </si>
  <si>
    <t xml:space="preserve">СКС МЕДИА</t>
  </si>
  <si>
    <t xml:space="preserve">scsmedia.ru</t>
  </si>
  <si>
    <t xml:space="preserve">РЕНТФОРОЛ</t>
  </si>
  <si>
    <t xml:space="preserve">rent4all.ru</t>
  </si>
  <si>
    <t xml:space="preserve">ИНМАКС</t>
  </si>
  <si>
    <t xml:space="preserve">inmax.ru</t>
  </si>
  <si>
    <t xml:space="preserve">Агенство "Живой Звук"</t>
  </si>
  <si>
    <t xml:space="preserve">livesound.agency</t>
  </si>
  <si>
    <t xml:space="preserve">ILLUMINARIUM3000</t>
  </si>
  <si>
    <t xml:space="preserve">illuminarium3000.com</t>
  </si>
  <si>
    <t xml:space="preserve">AVTechno</t>
  </si>
  <si>
    <t xml:space="preserve">avtechno.ru</t>
  </si>
  <si>
    <t xml:space="preserve">ITProgressor</t>
  </si>
  <si>
    <t xml:space="preserve">itprogressor.ru</t>
  </si>
  <si>
    <t xml:space="preserve">Артель</t>
  </si>
  <si>
    <t xml:space="preserve">artel-media.com</t>
  </si>
  <si>
    <t xml:space="preserve">АСТ ТЕЛЕКОМ</t>
  </si>
  <si>
    <t xml:space="preserve">ast-telecom.ru</t>
  </si>
  <si>
    <t xml:space="preserve">Эд Фэктори</t>
  </si>
  <si>
    <t xml:space="preserve">ad-f.ru</t>
  </si>
  <si>
    <t xml:space="preserve">ВИА-ТЕК (Р.Т.А.)</t>
  </si>
  <si>
    <t xml:space="preserve">www.via-tek.ru</t>
  </si>
  <si>
    <t xml:space="preserve">ПВТ</t>
  </si>
  <si>
    <t xml:space="preserve">pvt-corp.ru</t>
  </si>
  <si>
    <t xml:space="preserve">АВ-ЦЕНТР</t>
  </si>
  <si>
    <t xml:space="preserve">avc.ru</t>
  </si>
  <si>
    <t xml:space="preserve">СМАРТ</t>
  </si>
  <si>
    <t xml:space="preserve">63smart.ru</t>
  </si>
  <si>
    <t xml:space="preserve">АВ Интеграция</t>
  </si>
  <si>
    <t xml:space="preserve">av-i.ru</t>
  </si>
  <si>
    <t xml:space="preserve">beltel-av.ru</t>
  </si>
  <si>
    <t xml:space="preserve">intmedia.ru</t>
  </si>
  <si>
    <t xml:space="preserve">animatech.group</t>
  </si>
  <si>
    <t xml:space="preserve">av-forge.com</t>
  </si>
  <si>
    <t xml:space="preserve">mmedia-s.ru</t>
  </si>
  <si>
    <t xml:space="preserve">nextta.ru</t>
  </si>
  <si>
    <t xml:space="preserve">medi-on.ru</t>
  </si>
  <si>
    <t xml:space="preserve">mediaengin.ru</t>
  </si>
  <si>
    <t xml:space="preserve">Мануфактура офисов</t>
  </si>
  <si>
    <t xml:space="preserve">manufaqtury.com</t>
  </si>
  <si>
    <t xml:space="preserve">видновсем.рф</t>
  </si>
  <si>
    <t xml:space="preserve">vdex.ru</t>
  </si>
  <si>
    <t xml:space="preserve">Техномебель</t>
  </si>
  <si>
    <t xml:space="preserve">tehno-mebel.ru</t>
  </si>
  <si>
    <t xml:space="preserve">САНИН ДЕЛАЕТ ВИДЕО</t>
  </si>
  <si>
    <t xml:space="preserve">sanindelaetvideo.com</t>
  </si>
  <si>
    <t xml:space="preserve">ТОКС МЕДИА</t>
  </si>
  <si>
    <t xml:space="preserve">toxmedia.ru</t>
  </si>
  <si>
    <t xml:space="preserve">Софтлаб Мультимедиа</t>
  </si>
  <si>
    <t xml:space="preserve">softlab-mm.ru</t>
  </si>
  <si>
    <t xml:space="preserve">АЙТИ-ТЕХСТОР</t>
  </si>
  <si>
    <t xml:space="preserve">it-tehstore.ru</t>
  </si>
  <si>
    <t xml:space="preserve">Эддреа</t>
  </si>
  <si>
    <t xml:space="preserve">addrea.com</t>
  </si>
  <si>
    <t xml:space="preserve">A4-АТ (Компания А4) </t>
  </si>
  <si>
    <t xml:space="preserve">a4.ru</t>
  </si>
  <si>
    <t xml:space="preserve">DDM SOUND</t>
  </si>
  <si>
    <t xml:space="preserve">ddm-sound.ru</t>
  </si>
  <si>
    <t xml:space="preserve">Евклид</t>
  </si>
  <si>
    <t xml:space="preserve">euclid.ru</t>
  </si>
  <si>
    <t xml:space="preserve">Затраты на площадку</t>
  </si>
  <si>
    <t xml:space="preserve">Участники внесли денег</t>
  </si>
  <si>
    <t xml:space="preserve">Положительный баланс</t>
  </si>
  <si>
    <t xml:space="preserve">1. Вносим сколько потратили</t>
  </si>
  <si>
    <t xml:space="preserve">2. Вносим сколько все оплатили, часть людей оплатят больше, чем стоит участие. Эти деньги мы вписываем на поддержку сообщества. Фомируем положиьтельный баланс.</t>
  </si>
  <si>
    <t xml:space="preserve">3. Формируем отдельный счет, на котором у нас есть положительный баланс. Он копится, потом тратится на какие-то нужды. Обсудить с Сашей возможно отдельный эксель пока что простой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</si>
</sst>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.mm\.yyyy"/>
    <numFmt numFmtId="166" formatCode="#,##0"/>
    <numFmt numFmtId="167" formatCode="_-* #,##0.00&quot; ₽&quot;_-;\-* #,##0.00&quot; ₽&quot;_-;_-* \-??&quot; ₽&quot;_-;_-@"/>
  </numFmts>
  <fonts count="14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2"/>
      <color rgb="FF1A3A5F"/>
      <name val="Arial"/>
      <family val="0"/>
      <charset val="1"/>
    </font>
    <font>
      <b val="true"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u val="single"/>
      <sz val="11"/>
      <color theme="1"/>
      <name val="Calibri"/>
      <family val="2"/>
      <charset val="1"/>
    </font>
    <font>
      <u val="single"/>
      <sz val="11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17">
    <fill>
      <patternFill patternType="none"/>
    </fill>
    <fill>
      <patternFill patternType="gray125"/>
    </fill>
    <fill>
      <patternFill patternType="solid">
        <fgColor rgb="FF1A3A5F"/>
        <bgColor rgb="FF333333"/>
      </patternFill>
    </fill>
    <fill>
      <patternFill patternType="solid">
        <fgColor rgb="FFF8D7DA"/>
        <bgColor rgb="FFFCE4D6"/>
      </patternFill>
    </fill>
    <fill>
      <patternFill patternType="solid">
        <fgColor rgb="FFFDEBD0"/>
        <bgColor rgb="FFFFF2CC"/>
      </patternFill>
    </fill>
    <fill>
      <patternFill patternType="solid">
        <fgColor rgb="FFEAF2F8"/>
        <bgColor rgb="FFF2F3F4"/>
      </patternFill>
    </fill>
    <fill>
      <patternFill patternType="solid">
        <fgColor rgb="FFFFF2CC"/>
        <bgColor rgb="FFFDEBD0"/>
      </patternFill>
    </fill>
    <fill>
      <patternFill patternType="solid">
        <fgColor rgb="FFC0392B"/>
        <bgColor rgb="FF993366"/>
      </patternFill>
    </fill>
    <fill>
      <patternFill patternType="solid">
        <fgColor rgb="FF7F8C8D"/>
        <bgColor rgb="FF969696"/>
      </patternFill>
    </fill>
    <fill>
      <patternFill patternType="solid">
        <fgColor rgb="FFB7791F"/>
        <bgColor rgb="FFFF6600"/>
      </patternFill>
    </fill>
    <fill>
      <patternFill patternType="solid">
        <fgColor rgb="FF2E7D32"/>
        <bgColor rgb="FF008000"/>
      </patternFill>
    </fill>
    <fill>
      <patternFill patternType="solid">
        <fgColor rgb="FFFCE4D6"/>
        <bgColor rgb="FFFDEBD0"/>
      </patternFill>
    </fill>
    <fill>
      <patternFill patternType="solid">
        <fgColor rgb="FFF2F3F4"/>
        <bgColor rgb="FFEAF2F8"/>
      </patternFill>
    </fill>
    <fill>
      <patternFill patternType="solid">
        <fgColor rgb="FFD5F5E3"/>
        <bgColor rgb="FFEAF2F8"/>
      </patternFill>
    </fill>
    <fill>
      <patternFill patternType="solid">
        <fgColor theme="0"/>
        <bgColor rgb="FFF2F3F4"/>
      </patternFill>
    </fill>
    <fill>
      <patternFill patternType="solid">
        <fgColor rgb="FFCCCCCC"/>
        <bgColor rgb="FFD0D7E2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1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1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1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1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1A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AF2F8"/>
          <bgColor rgb="FF000000"/>
        </patternFill>
      </fill>
    </dxf>
    <dxf>
      <fill>
        <patternFill patternType="solid">
          <fgColor rgb="FFF8D7DA"/>
          <bgColor rgb="FF000000"/>
        </patternFill>
      </fill>
    </dxf>
    <dxf>
      <fill>
        <patternFill patternType="solid">
          <fgColor rgb="FFFDEBD0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C0392B"/>
          <bgColor rgb="FF000000"/>
        </patternFill>
      </fill>
    </dxf>
    <dxf>
      <fill>
        <patternFill patternType="solid">
          <fgColor rgb="FFD5F5E3"/>
          <bgColor rgb="FF000000"/>
        </patternFill>
      </fill>
    </dxf>
    <dxf>
      <fill>
        <patternFill patternType="solid">
          <fgColor rgb="FFF2F3F4"/>
          <bgColor rgb="FF000000"/>
        </patternFill>
      </fill>
    </dxf>
    <dxf>
      <fill>
        <patternFill patternType="solid">
          <fgColor rgb="FF7F8C8D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B7791F"/>
          <bgColor rgb="FF000000"/>
        </patternFill>
      </fill>
    </dxf>
    <dxf>
      <fill>
        <patternFill patternType="solid">
          <fgColor rgb="FF2E7D32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7791F"/>
      <rgbColor rgb="FF800080"/>
      <rgbColor rgb="FF008080"/>
      <rgbColor rgb="FFCCCCCC"/>
      <rgbColor rgb="FF7F8C8D"/>
      <rgbColor rgb="FF9999FF"/>
      <rgbColor rgb="FF993366"/>
      <rgbColor rgb="FFFFF2CC"/>
      <rgbColor rgb="FFEAF2F8"/>
      <rgbColor rgb="FF660066"/>
      <rgbColor rgb="FFFF8080"/>
      <rgbColor rgb="FF0066CC"/>
      <rgbColor rgb="FFD0D7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3F4"/>
      <rgbColor rgb="FFD5F5E3"/>
      <rgbColor rgb="FFFDEBD0"/>
      <rgbColor rgb="FF99CCFF"/>
      <rgbColor rgb="FFFCE4D6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A3A5F"/>
      <rgbColor rgb="FF2E7D32"/>
      <rgbColor rgb="FF003300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://croc.ru/" TargetMode="External"/><Relationship Id="rId2" Type="http://schemas.openxmlformats.org/officeDocument/2006/relationships/hyperlink" Target="https://online.sbis.ru/page/contractor/124dc800-ad93-11e0-92dd-00c2592e2283?page=crm&amp;tab=all&amp;anchor=finance" TargetMode="External"/><Relationship Id="rId3" Type="http://schemas.openxmlformats.org/officeDocument/2006/relationships/hyperlink" Target="http://xcom.ru/" TargetMode="External"/><Relationship Id="rId4" Type="http://schemas.openxmlformats.org/officeDocument/2006/relationships/hyperlink" Target="https://online.sbis.ru/page/contractor/c9a64800-8648-11e0-9370-007b01872283?page=crm" TargetMode="External"/><Relationship Id="rId5" Type="http://schemas.openxmlformats.org/officeDocument/2006/relationships/hyperlink" Target="http://lanit.ru/" TargetMode="External"/><Relationship Id="rId6" Type="http://schemas.openxmlformats.org/officeDocument/2006/relationships/hyperlink" Target="https://online.sbis.ru/page/contractor/3b320800-b313-11e0-9501-00c7172c2283?page=crm&amp;tab=all&amp;anchor=owners" TargetMode="External"/><Relationship Id="rId7" Type="http://schemas.openxmlformats.org/officeDocument/2006/relationships/hyperlink" Target="http://lanit.ru/" TargetMode="External"/><Relationship Id="rId8" Type="http://schemas.openxmlformats.org/officeDocument/2006/relationships/hyperlink" Target="https://online.sbis.ru/page/contractor/3b320800-b313-11e0-9501-00c7172c2283?page=crm&amp;tab=all&amp;anchor=owners" TargetMode="External"/><Relationship Id="rId9" Type="http://schemas.openxmlformats.org/officeDocument/2006/relationships/hyperlink" Target="http://step.ru/" TargetMode="External"/><Relationship Id="rId10" Type="http://schemas.openxmlformats.org/officeDocument/2006/relationships/hyperlink" Target="https://online.sbis.ru/page/contractor/d2c74800-69fe-11e0-a10e-0117c0502283?page=crm&amp;tab=all&amp;anchor=owners" TargetMode="External"/><Relationship Id="rId11" Type="http://schemas.openxmlformats.org/officeDocument/2006/relationships/hyperlink" Target="http://auvix.ru/" TargetMode="External"/><Relationship Id="rId12" Type="http://schemas.openxmlformats.org/officeDocument/2006/relationships/hyperlink" Target="https://online.sbis.ru/page/contractor/e078c800-3f8f-11e0-b341-00eaaf0d2283?page=crm" TargetMode="External"/><Relationship Id="rId13" Type="http://schemas.openxmlformats.org/officeDocument/2006/relationships/hyperlink" Target="http://avilex.ru/" TargetMode="External"/><Relationship Id="rId14" Type="http://schemas.openxmlformats.org/officeDocument/2006/relationships/hyperlink" Target="https://online.sbis.ru/page/contractor/124dc800-ad93-11e0-a200-00ce94852283?page=crm" TargetMode="External"/><Relationship Id="rId15" Type="http://schemas.openxmlformats.org/officeDocument/2006/relationships/hyperlink" Target="http://polymedia.ru/" TargetMode="External"/><Relationship Id="rId16" Type="http://schemas.openxmlformats.org/officeDocument/2006/relationships/hyperlink" Target="https://online.sbis.ru/page/contractor/efb6c800-53cb-11e8-a5a9-03872c692283?page=crm&amp;tab=all&amp;anchor=owners" TargetMode="External"/><Relationship Id="rId17" Type="http://schemas.openxmlformats.org/officeDocument/2006/relationships/hyperlink" Target="http://polymedia.ru/" TargetMode="External"/><Relationship Id="rId18" Type="http://schemas.openxmlformats.org/officeDocument/2006/relationships/hyperlink" Target="https://online.sbis.ru/page/contractor/efb6c800-53cb-11e8-a5a9-03872c692283?page=crm&amp;tab=all&amp;anchor=owners" TargetMode="External"/><Relationship Id="rId19" Type="http://schemas.openxmlformats.org/officeDocument/2006/relationships/hyperlink" Target="http://livesound.ru/" TargetMode="External"/><Relationship Id="rId20" Type="http://schemas.openxmlformats.org/officeDocument/2006/relationships/hyperlink" Target="https://online.sbis.ru/page/contractor/28a4d040-7f75-11ee-9224-04ee49a92283?page=crm" TargetMode="External"/><Relationship Id="rId21" Type="http://schemas.openxmlformats.org/officeDocument/2006/relationships/hyperlink" Target="https://online.sbis.ru/page/contractor/e9698800-a812-11e0-924b-00ae96332283?page=crm&amp;tab=all&amp;anchor=owners" TargetMode="External"/><Relationship Id="rId22" Type="http://schemas.openxmlformats.org/officeDocument/2006/relationships/hyperlink" Target="https://ctccapital.ru/" TargetMode="External"/><Relationship Id="rId23" Type="http://schemas.openxmlformats.org/officeDocument/2006/relationships/hyperlink" Target="https://online.sbis.ru/page/contractor/4d740800-7a7f-11e0-b2b7-00fdb3ea2283?page=crm&amp;tab=all&amp;anchor=owners" TargetMode="External"/><Relationship Id="rId24" Type="http://schemas.openxmlformats.org/officeDocument/2006/relationships/hyperlink" Target="http://leintegration.ru/" TargetMode="External"/><Relationship Id="rId25" Type="http://schemas.openxmlformats.org/officeDocument/2006/relationships/hyperlink" Target="https://online.sbis.ru/page/contractor/f8d44800-15d0-11e4-a358-02d3a4c62283?page=crm" TargetMode="External"/><Relationship Id="rId26" Type="http://schemas.openxmlformats.org/officeDocument/2006/relationships/hyperlink" Target="http://digis.ru/" TargetMode="External"/><Relationship Id="rId27" Type="http://schemas.openxmlformats.org/officeDocument/2006/relationships/hyperlink" Target="https://online.sbis.ru/page/contractor/659bc800-b3dc-11e0-8259-00e0a7fc2283?page=crm&amp;tab=all&amp;anchor=owners" TargetMode="External"/><Relationship Id="rId28" Type="http://schemas.openxmlformats.org/officeDocument/2006/relationships/hyperlink" Target="http://digis.ru/" TargetMode="External"/><Relationship Id="rId29" Type="http://schemas.openxmlformats.org/officeDocument/2006/relationships/hyperlink" Target="https://online.sbis.ru/page/contractor/659bc800-b3dc-11e0-8259-00e0a7fc2283?page=crm&amp;tab=all&amp;anchor=owners" TargetMode="External"/><Relationship Id="rId30" Type="http://schemas.openxmlformats.org/officeDocument/2006/relationships/hyperlink" Target="http://astronis.ru/" TargetMode="External"/><Relationship Id="rId31" Type="http://schemas.openxmlformats.org/officeDocument/2006/relationships/hyperlink" Target="https://online.sbis.ru/page/contractor/51a78800-97a5-11e5-a1a9-0311a5962283?page=crm&amp;tab=all&amp;anchor=finance" TargetMode="External"/><Relationship Id="rId32" Type="http://schemas.openxmlformats.org/officeDocument/2006/relationships/hyperlink" Target="http://oberon-it.ru/" TargetMode="External"/><Relationship Id="rId33" Type="http://schemas.openxmlformats.org/officeDocument/2006/relationships/hyperlink" Target="https://online.sbis.ru/page/contractor/4ef98800-75c8-11e0-9112-0092fc382283?page=crm" TargetMode="External"/><Relationship Id="rId34" Type="http://schemas.openxmlformats.org/officeDocument/2006/relationships/hyperlink" Target="http://trueconf.ru/" TargetMode="External"/><Relationship Id="rId35" Type="http://schemas.openxmlformats.org/officeDocument/2006/relationships/hyperlink" Target="https://online.sbis.ru/page/contractor/47f94800-6407-11eb-92fa-04113f852283?page=crm" TargetMode="External"/><Relationship Id="rId36" Type="http://schemas.openxmlformats.org/officeDocument/2006/relationships/hyperlink" Target="http://vkorpe.ru/" TargetMode="External"/><Relationship Id="rId37" Type="http://schemas.openxmlformats.org/officeDocument/2006/relationships/hyperlink" Target="https://online.sbis.ru/page/contractor/94998800-c831-11e4-b362-02f1b0a62283?page=crm&amp;tab=all&amp;anchor=owners" TargetMode="External"/><Relationship Id="rId38" Type="http://schemas.openxmlformats.org/officeDocument/2006/relationships/hyperlink" Target="http://abak2000.ru/" TargetMode="External"/><Relationship Id="rId39" Type="http://schemas.openxmlformats.org/officeDocument/2006/relationships/hyperlink" Target="https://online.sbis.ru/page/contractor/a6d80800-6dec-11e0-a11a-00c82b062283?page=crm&amp;tab=all&amp;anchor=owners" TargetMode="External"/><Relationship Id="rId40" Type="http://schemas.openxmlformats.org/officeDocument/2006/relationships/hyperlink" Target="https://www.teleserv.ru/" TargetMode="External"/><Relationship Id="rId41" Type="http://schemas.openxmlformats.org/officeDocument/2006/relationships/hyperlink" Target="https://online.sbis.ru/page/contractor/ce36c800-7823-11e0-a0a9-00970d612283?page=crm" TargetMode="External"/><Relationship Id="rId42" Type="http://schemas.openxmlformats.org/officeDocument/2006/relationships/hyperlink" Target="http://profdisplays.ru/" TargetMode="External"/><Relationship Id="rId43" Type="http://schemas.openxmlformats.org/officeDocument/2006/relationships/hyperlink" Target="https://online.sbis.ru/page/contractor/c66e8800-3634-11e5-a32f-03086c3b2283?page=crm&amp;tab=all&amp;anchor=owners" TargetMode="External"/><Relationship Id="rId44" Type="http://schemas.openxmlformats.org/officeDocument/2006/relationships/hyperlink" Target="http://ascreen.ru/" TargetMode="External"/><Relationship Id="rId45" Type="http://schemas.openxmlformats.org/officeDocument/2006/relationships/hyperlink" Target="https://online.sbis.ru/page/contractor/c66b0800-1483-11e1-b260-012bccee2283?page=crm&amp;tab=all&amp;anchor=owners" TargetMode="External"/><Relationship Id="rId46" Type="http://schemas.openxmlformats.org/officeDocument/2006/relationships/hyperlink" Target="http://gigant.ru/" TargetMode="External"/><Relationship Id="rId47" Type="http://schemas.openxmlformats.org/officeDocument/2006/relationships/hyperlink" Target="https://online.sbis.ru/page/contractor/0d2c8800-4a1f-11e2-93aa-026853ed2283?page=crm" TargetMode="External"/><Relationship Id="rId48" Type="http://schemas.openxmlformats.org/officeDocument/2006/relationships/hyperlink" Target="http://hi-tech.org/" TargetMode="External"/><Relationship Id="rId49" Type="http://schemas.openxmlformats.org/officeDocument/2006/relationships/hyperlink" Target="https://online.sbis.ru/page/contractor/cc544800-a825-11e5-92ac-03180c142283?page=crm&amp;tab=all&amp;anchor=owners" TargetMode="External"/><Relationship Id="rId50" Type="http://schemas.openxmlformats.org/officeDocument/2006/relationships/hyperlink" Target="http://vidau.tv/" TargetMode="External"/><Relationship Id="rId51" Type="http://schemas.openxmlformats.org/officeDocument/2006/relationships/hyperlink" Target="https://online.sbis.ru/page/contractor/a4614800-0aa4-11e3-9114-02a1353f2283?page=crm&amp;tab=all&amp;anchor=owners" TargetMode="External"/><Relationship Id="rId52" Type="http://schemas.openxmlformats.org/officeDocument/2006/relationships/hyperlink" Target="http://vidau.tv/" TargetMode="External"/><Relationship Id="rId53" Type="http://schemas.openxmlformats.org/officeDocument/2006/relationships/hyperlink" Target="https://online.sbis.ru/page/contractor/a4614800-0aa4-11e3-9114-02a1353f2283?page=crm&amp;tab=all&amp;anchor=owners" TargetMode="External"/><Relationship Id="rId54" Type="http://schemas.openxmlformats.org/officeDocument/2006/relationships/hyperlink" Target="http://voip-shop.ru/" TargetMode="External"/><Relationship Id="rId55" Type="http://schemas.openxmlformats.org/officeDocument/2006/relationships/hyperlink" Target="https://online.sbis.ru/page/contractor/10cbc800-d3fb-11e4-b32d-02f5ada32283?page=crm" TargetMode="External"/><Relationship Id="rId56" Type="http://schemas.openxmlformats.org/officeDocument/2006/relationships/hyperlink" Target="http://hdlt.ru/" TargetMode="External"/><Relationship Id="rId57" Type="http://schemas.openxmlformats.org/officeDocument/2006/relationships/hyperlink" Target="https://online.sbis.ru/page/contractor/49a80800-9721-11e2-88f5-028df4962283?page=crm" TargetMode="External"/><Relationship Id="rId58" Type="http://schemas.openxmlformats.org/officeDocument/2006/relationships/hyperlink" Target="http://tmgroup.ru/" TargetMode="External"/><Relationship Id="rId59" Type="http://schemas.openxmlformats.org/officeDocument/2006/relationships/hyperlink" Target="https://online.sbis.ru/page/contractor/14cb8800-543d-11e6-b666-033983eb2283?page=crm&amp;tab=all&amp;anchor=finance" TargetMode="External"/><Relationship Id="rId60" Type="http://schemas.openxmlformats.org/officeDocument/2006/relationships/hyperlink" Target="http://d2group.ru/" TargetMode="External"/><Relationship Id="rId61" Type="http://schemas.openxmlformats.org/officeDocument/2006/relationships/hyperlink" Target="https://online.sbis.ru/page/contractor/3b320800-b313-11e0-a010-00abf68d2283?page=crm" TargetMode="External"/><Relationship Id="rId62" Type="http://schemas.openxmlformats.org/officeDocument/2006/relationships/hyperlink" Target="http://visuals.ru/" TargetMode="External"/><Relationship Id="rId63" Type="http://schemas.openxmlformats.org/officeDocument/2006/relationships/hyperlink" Target="https://online.sbis.ru/page/contractor/a4310800-8f71-11e3-b107-02bd725e2283?page=crm" TargetMode="External"/><Relationship Id="rId64" Type="http://schemas.openxmlformats.org/officeDocument/2006/relationships/hyperlink" Target="https://online.sbis.ru/page/contractor/c9da0800-232c-11e4-8293-02d514302283?page=crm" TargetMode="External"/><Relationship Id="rId65" Type="http://schemas.openxmlformats.org/officeDocument/2006/relationships/hyperlink" Target="http://ancomp.ru/" TargetMode="External"/><Relationship Id="rId66" Type="http://schemas.openxmlformats.org/officeDocument/2006/relationships/hyperlink" Target="https://online.sbis.ru/page/contractor/15890800-1f58-11e0-b30c-00d58a222283?page=crm&amp;tab=all&amp;anchor=owners" TargetMode="External"/><Relationship Id="rId67" Type="http://schemas.openxmlformats.org/officeDocument/2006/relationships/hyperlink" Target="https://videoland-pro.ru/" TargetMode="External"/><Relationship Id="rId68" Type="http://schemas.openxmlformats.org/officeDocument/2006/relationships/hyperlink" Target="https://online.sbis.ru/page/contractor/fee6c800-e143-11df-969e-00c7c1a12283?page=crm" TargetMode="External"/><Relationship Id="rId69" Type="http://schemas.openxmlformats.org/officeDocument/2006/relationships/hyperlink" Target="http://dil-it.ru/" TargetMode="External"/><Relationship Id="rId70" Type="http://schemas.openxmlformats.org/officeDocument/2006/relationships/hyperlink" Target="http://gksputnik.ru/" TargetMode="External"/><Relationship Id="rId71" Type="http://schemas.openxmlformats.org/officeDocument/2006/relationships/hyperlink" Target="https://online.sbis.ru/page/contractor/b1e60800-86b3-11e7-a22b-036f6d0b2283?page=crm" TargetMode="External"/><Relationship Id="rId72" Type="http://schemas.openxmlformats.org/officeDocument/2006/relationships/hyperlink" Target="https://allegri-group.ru/" TargetMode="External"/><Relationship Id="rId73" Type="http://schemas.openxmlformats.org/officeDocument/2006/relationships/hyperlink" Target="https://online.sbis.ru/page/contractor/c11d0800-578d-11e7-b31c-036ac3722283?page=crm" TargetMode="External"/><Relationship Id="rId74" Type="http://schemas.openxmlformats.org/officeDocument/2006/relationships/hyperlink" Target="http://icl-services.com/" TargetMode="External"/><Relationship Id="rId75" Type="http://schemas.openxmlformats.org/officeDocument/2006/relationships/hyperlink" Target="https://online.sbis.ru/page/contractor/04d00800-74e6-11e4-b18e-02e422d12283?page=crm&amp;tab=all&amp;anchor=owners" TargetMode="External"/><Relationship Id="rId76" Type="http://schemas.openxmlformats.org/officeDocument/2006/relationships/hyperlink" Target="http://lemier.ru/" TargetMode="External"/><Relationship Id="rId77" Type="http://schemas.openxmlformats.org/officeDocument/2006/relationships/hyperlink" Target="https://online.sbis.ru/page/contractor/29204800-66da-11e0-8568-009472662283?page=crm&amp;tab=all&amp;anchor=owners" TargetMode="External"/><Relationship Id="rId78" Type="http://schemas.openxmlformats.org/officeDocument/2006/relationships/hyperlink" Target="http://brullov.com/" TargetMode="External"/><Relationship Id="rId79" Type="http://schemas.openxmlformats.org/officeDocument/2006/relationships/hyperlink" Target="https://online.sbis.ru/page/contractor/fd348800-8c78-11e4-a2ef-02eb66bc2283?page=crm&amp;tab=all&amp;anchor=owners" TargetMode="External"/><Relationship Id="rId80" Type="http://schemas.openxmlformats.org/officeDocument/2006/relationships/hyperlink" Target="http://brullov.com/" TargetMode="External"/><Relationship Id="rId81" Type="http://schemas.openxmlformats.org/officeDocument/2006/relationships/hyperlink" Target="https://online.sbis.ru/page/contractor/fd348800-8c78-11e4-a2ef-02eb66bc2283?page=crm&amp;tab=all&amp;anchor=owners" TargetMode="External"/><Relationship Id="rId82" Type="http://schemas.openxmlformats.org/officeDocument/2006/relationships/hyperlink" Target="http://brullov.com/" TargetMode="External"/><Relationship Id="rId83" Type="http://schemas.openxmlformats.org/officeDocument/2006/relationships/hyperlink" Target="https://online.sbis.ru/page/contractor/fd348800-8c78-11e4-a2ef-02eb66bc2283?page=crm&amp;tab=all&amp;anchor=owners" TargetMode="External"/><Relationship Id="rId84" Type="http://schemas.openxmlformats.org/officeDocument/2006/relationships/hyperlink" Target="http://gtlamp.ru/" TargetMode="External"/><Relationship Id="rId85" Type="http://schemas.openxmlformats.org/officeDocument/2006/relationships/hyperlink" Target="https://online.sbis.ru/page/contractor/ef7f8800-9536-11e0-b6ad-00d8f9f22283?page=crm&amp;tab=all&amp;anchor=owners" TargetMode="External"/><Relationship Id="rId86" Type="http://schemas.openxmlformats.org/officeDocument/2006/relationships/hyperlink" Target="http://future-vision.ru/" TargetMode="External"/><Relationship Id="rId87" Type="http://schemas.openxmlformats.org/officeDocument/2006/relationships/hyperlink" Target="https://online.sbis.ru/page/contractor/a2dbc800-0f5b-11e3-b3cb-02a153b82283?page=crm&amp;tab=all&amp;anchor=owners" TargetMode="External"/><Relationship Id="rId88" Type="http://schemas.openxmlformats.org/officeDocument/2006/relationships/hyperlink" Target="http://open-vision.ru/" TargetMode="External"/><Relationship Id="rId89" Type="http://schemas.openxmlformats.org/officeDocument/2006/relationships/hyperlink" Target="https://online.sbis.ru/page/contractor/29204800-66da-11e0-83b2-00d4be9f2283?page=crm&amp;tab=all&amp;anchor=finance" TargetMode="External"/><Relationship Id="rId90" Type="http://schemas.openxmlformats.org/officeDocument/2006/relationships/hyperlink" Target="http://vinteo.ru/" TargetMode="External"/><Relationship Id="rId91" Type="http://schemas.openxmlformats.org/officeDocument/2006/relationships/hyperlink" Target="https://online.sbis.ru/page/contractor/4cb30800-8db3-11e2-b1cc-028107af2283?page=crm" TargetMode="External"/><Relationship Id="rId92" Type="http://schemas.openxmlformats.org/officeDocument/2006/relationships/hyperlink" Target="http://vinteo.ru/" TargetMode="External"/><Relationship Id="rId93" Type="http://schemas.openxmlformats.org/officeDocument/2006/relationships/hyperlink" Target="https://online.sbis.ru/page/contractor/4cb30800-8db3-11e2-b1cc-028107af2283?page=crm" TargetMode="External"/><Relationship Id="rId94" Type="http://schemas.openxmlformats.org/officeDocument/2006/relationships/hyperlink" Target="http://www.pilot.ru/" TargetMode="External"/><Relationship Id="rId95" Type="http://schemas.openxmlformats.org/officeDocument/2006/relationships/hyperlink" Target="https://online.sbis.ru/page/contractor/0f42c800-b701-11e0-b143-00ad5a5f2283?page=crm" TargetMode="External"/><Relationship Id="rId96" Type="http://schemas.openxmlformats.org/officeDocument/2006/relationships/hyperlink" Target="https://bs-group.pro/" TargetMode="External"/><Relationship Id="rId97" Type="http://schemas.openxmlformats.org/officeDocument/2006/relationships/hyperlink" Target="https://online.sbis.ru/page/contractor/92b38800-d682-11e5-93d3-031dff0e2283?page=crm" TargetMode="External"/><Relationship Id="rId98" Type="http://schemas.openxmlformats.org/officeDocument/2006/relationships/hyperlink" Target="http://cvg.ru/" TargetMode="External"/><Relationship Id="rId99" Type="http://schemas.openxmlformats.org/officeDocument/2006/relationships/hyperlink" Target="https://online.sbis.ru/page/contractor/b8e9c800-ba25-11e0-838c-010c87912283?page=crm" TargetMode="External"/><Relationship Id="rId100" Type="http://schemas.openxmlformats.org/officeDocument/2006/relationships/hyperlink" Target="http://lankey.ru/" TargetMode="External"/><Relationship Id="rId101" Type="http://schemas.openxmlformats.org/officeDocument/2006/relationships/hyperlink" Target="https://online.sbis.ru/page/contractor/affc8800-7353-11e4-b252-02e66bd22283?page=crm" TargetMode="External"/><Relationship Id="rId102" Type="http://schemas.openxmlformats.org/officeDocument/2006/relationships/hyperlink" Target="https://anzhee.ru/" TargetMode="External"/><Relationship Id="rId103" Type="http://schemas.openxmlformats.org/officeDocument/2006/relationships/hyperlink" Target="https://online.sbis.ru/page/contractor/4bc8c800-6916-11ed-a3c6-0486bde32283?page=crm&amp;tab=all&amp;anchor=owners" TargetMode="External"/><Relationship Id="rId104" Type="http://schemas.openxmlformats.org/officeDocument/2006/relationships/hyperlink" Target="http://inter.ru/" TargetMode="External"/><Relationship Id="rId105" Type="http://schemas.openxmlformats.org/officeDocument/2006/relationships/hyperlink" Target="https://online.sbis.ru/page/contractor/a8610800-8ae6-11e4-82b1-02eb6cb32283?page=crm&amp;tab=all&amp;anchor=owners" TargetMode="External"/><Relationship Id="rId106" Type="http://schemas.openxmlformats.org/officeDocument/2006/relationships/hyperlink" Target="http://gromvision.ru/" TargetMode="External"/><Relationship Id="rId107" Type="http://schemas.openxmlformats.org/officeDocument/2006/relationships/hyperlink" Target="https://online.sbis.ru/page/contractor/538a0800-67a3-11e0-819a-00fa00252283?page=crm&amp;tab=all&amp;anchor=owners" TargetMode="External"/><Relationship Id="rId108" Type="http://schemas.openxmlformats.org/officeDocument/2006/relationships/hyperlink" Target="http://sofitlight.ru/" TargetMode="External"/><Relationship Id="rId109" Type="http://schemas.openxmlformats.org/officeDocument/2006/relationships/hyperlink" Target="https://online.sbis.ru/page/contractor/64164800-b893-11e0-8295-01179a332283?page=crm&amp;tab=all&amp;anchor=owners" TargetMode="External"/><Relationship Id="rId110" Type="http://schemas.openxmlformats.org/officeDocument/2006/relationships/hyperlink" Target="https://bs-group.info/" TargetMode="External"/><Relationship Id="rId111" Type="http://schemas.openxmlformats.org/officeDocument/2006/relationships/hyperlink" Target="https://online.sbis.ru/page/contractor/94694800-4cfe-11e5-a188-0308da262283?page=crm" TargetMode="External"/><Relationship Id="rId112" Type="http://schemas.openxmlformats.org/officeDocument/2006/relationships/hyperlink" Target="http://smartkiosk.ru/" TargetMode="External"/><Relationship Id="rId113" Type="http://schemas.openxmlformats.org/officeDocument/2006/relationships/hyperlink" Target="https://online.sbis.ru/page/contractor/5546c800-2181-11e8-a2e1-037f093c2283?page=crm" TargetMode="External"/><Relationship Id="rId114" Type="http://schemas.openxmlformats.org/officeDocument/2006/relationships/hyperlink" Target="http://intoku.ru/" TargetMode="External"/><Relationship Id="rId115" Type="http://schemas.openxmlformats.org/officeDocument/2006/relationships/hyperlink" Target="https://online.sbis.ru/page/contractor/c05c0800-6ac1-11e9-a350-03bcb4832283?page=crm" TargetMode="External"/><Relationship Id="rId116" Type="http://schemas.openxmlformats.org/officeDocument/2006/relationships/hyperlink" Target="http://audioprofi.ru/" TargetMode="External"/><Relationship Id="rId117" Type="http://schemas.openxmlformats.org/officeDocument/2006/relationships/hyperlink" Target="https://online.sbis.ru/page/contractor/7d32c800-7ba0-11e2-9236-026451bb2283?page=crm&amp;tab=all&amp;anchor=owners" TargetMode="External"/><Relationship Id="rId118" Type="http://schemas.openxmlformats.org/officeDocument/2006/relationships/hyperlink" Target="http://audioprofi.ru/" TargetMode="External"/><Relationship Id="rId119" Type="http://schemas.openxmlformats.org/officeDocument/2006/relationships/hyperlink" Target="https://online.sbis.ru/page/contractor/7d32c800-7ba0-11e2-9236-026451bb2283?page=crm&amp;tab=all&amp;anchor=owners" TargetMode="External"/><Relationship Id="rId120" Type="http://schemas.openxmlformats.org/officeDocument/2006/relationships/hyperlink" Target="http://audioprofi.ru/" TargetMode="External"/><Relationship Id="rId121" Type="http://schemas.openxmlformats.org/officeDocument/2006/relationships/hyperlink" Target="https://online.sbis.ru/page/contractor/7d32c800-7ba0-11e2-9236-026451bb2283?page=crm&amp;tab=all&amp;anchor=owners" TargetMode="External"/><Relationship Id="rId122" Type="http://schemas.openxmlformats.org/officeDocument/2006/relationships/hyperlink" Target="http://riwa.ru/" TargetMode="External"/><Relationship Id="rId123" Type="http://schemas.openxmlformats.org/officeDocument/2006/relationships/hyperlink" Target="https://online.sbis.ru/page/contractor/1cd33a00-5333-11e4-8127-02dc76442283?page=crm" TargetMode="External"/><Relationship Id="rId124" Type="http://schemas.openxmlformats.org/officeDocument/2006/relationships/hyperlink" Target="http://sonoruss.ru/" TargetMode="External"/><Relationship Id="rId125" Type="http://schemas.openxmlformats.org/officeDocument/2006/relationships/hyperlink" Target="https://online.sbis.ru/page/contractor/8fd54800-3972-11e1-a292-01dd91142283?page=crm" TargetMode="External"/><Relationship Id="rId126" Type="http://schemas.openxmlformats.org/officeDocument/2006/relationships/hyperlink" Target="https://pmt.ru/" TargetMode="External"/><Relationship Id="rId127" Type="http://schemas.openxmlformats.org/officeDocument/2006/relationships/hyperlink" Target="https://online.sbis.ru/page/contractor/05644800-0830-11e7-b1bc-035f10de2283?page=crm" TargetMode="External"/><Relationship Id="rId128" Type="http://schemas.openxmlformats.org/officeDocument/2006/relationships/hyperlink" Target="https://www.av-pro.info/" TargetMode="External"/><Relationship Id="rId129" Type="http://schemas.openxmlformats.org/officeDocument/2006/relationships/hyperlink" Target="https://online.sbis.ru/page/contractor/d78f0800-1a6e-11e8-b22e-037e9e3b2283?page=crm" TargetMode="External"/><Relationship Id="rId130" Type="http://schemas.openxmlformats.org/officeDocument/2006/relationships/hyperlink" Target="http://emerlink.net/" TargetMode="External"/><Relationship Id="rId131" Type="http://schemas.openxmlformats.org/officeDocument/2006/relationships/hyperlink" Target="https://online.sbis.ru/page/contractor/9dee4800-48cb-11e8-96d5-03866e3f2283?page=crm&amp;tab=all&amp;anchor=owners" TargetMode="External"/><Relationship Id="rId132" Type="http://schemas.openxmlformats.org/officeDocument/2006/relationships/hyperlink" Target="https://online.sbis.ru/page/contractor/29b10800-d873-11de-a155-011c67fd2283?page=crm" TargetMode="External"/><Relationship Id="rId133" Type="http://schemas.openxmlformats.org/officeDocument/2006/relationships/hyperlink" Target="http://ipvs.ru/" TargetMode="External"/><Relationship Id="rId134" Type="http://schemas.openxmlformats.org/officeDocument/2006/relationships/hyperlink" Target="https://online.sbis.ru/page/contractor/42cd8800-9b80-11e0-9ac0-00aa7ab32283?page=crm&amp;tab=all&amp;anchor=owners" TargetMode="External"/><Relationship Id="rId135" Type="http://schemas.openxmlformats.org/officeDocument/2006/relationships/hyperlink" Target="http://sitimedia.ru/" TargetMode="External"/><Relationship Id="rId136" Type="http://schemas.openxmlformats.org/officeDocument/2006/relationships/hyperlink" Target="https://online.sbis.ru/page/contractor/a6474800-fc53-11e1-b182-0240ee102283?page=crm" TargetMode="External"/><Relationship Id="rId137" Type="http://schemas.openxmlformats.org/officeDocument/2006/relationships/hyperlink" Target="http://intechirs.ru/" TargetMode="External"/><Relationship Id="rId138" Type="http://schemas.openxmlformats.org/officeDocument/2006/relationships/hyperlink" Target="https://online.sbis.ru/page/contractor/9dee4800-48cb-11e8-96d5-03866e3f2283?page=crm&amp;tab=all&amp;anchor=owners" TargetMode="External"/><Relationship Id="rId139" Type="http://schemas.openxmlformats.org/officeDocument/2006/relationships/hyperlink" Target="http://smart-av.ru/" TargetMode="External"/><Relationship Id="rId140" Type="http://schemas.openxmlformats.org/officeDocument/2006/relationships/hyperlink" Target="https://online.sbis.ru/page/contractor/e32a4800-831d-11e9-a20d-03bf68432283?page=crm" TargetMode="External"/><Relationship Id="rId141" Type="http://schemas.openxmlformats.org/officeDocument/2006/relationships/hyperlink" Target="http://smart-av.ru/" TargetMode="External"/><Relationship Id="rId142" Type="http://schemas.openxmlformats.org/officeDocument/2006/relationships/hyperlink" Target="https://online.sbis.ru/page/contractor/e32a4800-831d-11e9-a20d-03bf68432283?page=crm" TargetMode="External"/><Relationship Id="rId143" Type="http://schemas.openxmlformats.org/officeDocument/2006/relationships/hyperlink" Target="http://polyanalitika.ru/" TargetMode="External"/><Relationship Id="rId144" Type="http://schemas.openxmlformats.org/officeDocument/2006/relationships/hyperlink" Target="https://online.sbis.ru/page/contractor/a5edc800-494f-11eb-839a-040efc742283?page=crm&amp;tab=all&amp;anchor=owners" TargetMode="External"/><Relationship Id="rId145" Type="http://schemas.openxmlformats.org/officeDocument/2006/relationships/hyperlink" Target="http://polyanalitika.ru/" TargetMode="External"/><Relationship Id="rId146" Type="http://schemas.openxmlformats.org/officeDocument/2006/relationships/hyperlink" Target="https://online.sbis.ru/page/contractor/a5edc800-494f-11eb-839a-040efc742283?page=crm&amp;tab=all&amp;anchor=owners" TargetMode="External"/><Relationship Id="rId147" Type="http://schemas.openxmlformats.org/officeDocument/2006/relationships/hyperlink" Target="http://bananabread.pro/" TargetMode="External"/><Relationship Id="rId148" Type="http://schemas.openxmlformats.org/officeDocument/2006/relationships/hyperlink" Target="https://online.sbis.ru/page/contractor/b39bc800-fd2f-11e6-92c3-03574c2c2283?page=crm" TargetMode="External"/><Relationship Id="rId149" Type="http://schemas.openxmlformats.org/officeDocument/2006/relationships/hyperlink" Target="http://filin.pro/" TargetMode="External"/><Relationship Id="rId150" Type="http://schemas.openxmlformats.org/officeDocument/2006/relationships/hyperlink" Target="https://online.sbis.ru/page/contractor/c3f7c800-d2ec-11e7-a113-03786c5e2283?page=crm" TargetMode="External"/><Relationship Id="rId151" Type="http://schemas.openxmlformats.org/officeDocument/2006/relationships/hyperlink" Target="http://logic-systems.ru/" TargetMode="External"/><Relationship Id="rId152" Type="http://schemas.openxmlformats.org/officeDocument/2006/relationships/hyperlink" Target="https://online.sbis.ru/page/contractor/f0d4c800-154c-11e1-8288-012c3edb2283?page=crm&amp;tab=all&amp;anchor=owners" TargetMode="External"/><Relationship Id="rId153" Type="http://schemas.openxmlformats.org/officeDocument/2006/relationships/hyperlink" Target="http://meta-forma.ru/" TargetMode="External"/><Relationship Id="rId154" Type="http://schemas.openxmlformats.org/officeDocument/2006/relationships/hyperlink" Target="https://online.sbis.ru/page/contractor/a0688800-cdc4-11e9-8c5c-03de13ff2283?page=crm" TargetMode="External"/><Relationship Id="rId155" Type="http://schemas.openxmlformats.org/officeDocument/2006/relationships/hyperlink" Target="https://detectorgroup.ru/" TargetMode="External"/><Relationship Id="rId156" Type="http://schemas.openxmlformats.org/officeDocument/2006/relationships/hyperlink" Target="https://online.sbis.ru/page/contractor/f5388800-ada5-11e5-ab6a-031822182283?page=crm" TargetMode="External"/><Relationship Id="rId157" Type="http://schemas.openxmlformats.org/officeDocument/2006/relationships/hyperlink" Target="http://polyservice.ru/" TargetMode="External"/><Relationship Id="rId158" Type="http://schemas.openxmlformats.org/officeDocument/2006/relationships/hyperlink" Target="https://online.sbis.ru/page/contractor/15900800-62ba-11e8-a135-038aadd62283?page=crm" TargetMode="External"/><Relationship Id="rId159" Type="http://schemas.openxmlformats.org/officeDocument/2006/relationships/hyperlink" Target="http://videotrade.ru/" TargetMode="External"/><Relationship Id="rId160" Type="http://schemas.openxmlformats.org/officeDocument/2006/relationships/hyperlink" Target="https://online.sbis.ru/page/contractor/aaa40800-514a-11de-a274-00e657b52283?page=crm&amp;tab=all&amp;anchor=finance" TargetMode="External"/><Relationship Id="rId161" Type="http://schemas.openxmlformats.org/officeDocument/2006/relationships/hyperlink" Target="http://av-prom.ru/" TargetMode="External"/><Relationship Id="rId162" Type="http://schemas.openxmlformats.org/officeDocument/2006/relationships/hyperlink" Target="https://online.sbis.ru/page/contractor/0f42c800-b701-11e0-830d-00a4a1d52283?page=crm&amp;tab=all&amp;anchor=owners" TargetMode="External"/><Relationship Id="rId163" Type="http://schemas.openxmlformats.org/officeDocument/2006/relationships/hyperlink" Target="http://umvek.ru/" TargetMode="External"/><Relationship Id="rId164" Type="http://schemas.openxmlformats.org/officeDocument/2006/relationships/hyperlink" Target="https://online.sbis.ru/page/contractor/dfbb4800-7474-11e6-b370-033f32132283?page=crm&amp;tab=all&amp;anchor=owners" TargetMode="External"/><Relationship Id="rId165" Type="http://schemas.openxmlformats.org/officeDocument/2006/relationships/hyperlink" Target="http://sapphire-led.com/" TargetMode="External"/><Relationship Id="rId166" Type="http://schemas.openxmlformats.org/officeDocument/2006/relationships/hyperlink" Target="https://online.sbis.ru/page/contractor/da0cc800-c118-11ed-91a4-04c15bb22283?page=crm" TargetMode="External"/><Relationship Id="rId167" Type="http://schemas.openxmlformats.org/officeDocument/2006/relationships/hyperlink" Target="http://interactivedigital.ru/" TargetMode="External"/><Relationship Id="rId168" Type="http://schemas.openxmlformats.org/officeDocument/2006/relationships/hyperlink" Target="https://online.sbis.ru/page/contractor/0a250800-753e-11e6-823d-033f340b2283?page=crm" TargetMode="External"/><Relationship Id="rId169" Type="http://schemas.openxmlformats.org/officeDocument/2006/relationships/hyperlink" Target="http://bananabread.pro/" TargetMode="External"/><Relationship Id="rId170" Type="http://schemas.openxmlformats.org/officeDocument/2006/relationships/hyperlink" Target="https://online.sbis.ru/page/contractor/b39bc800-fd2f-11e6-92c3-03574c2c2283?page=crm" TargetMode="External"/><Relationship Id="rId171" Type="http://schemas.openxmlformats.org/officeDocument/2006/relationships/hyperlink" Target="http://dixten.com/" TargetMode="External"/><Relationship Id="rId172" Type="http://schemas.openxmlformats.org/officeDocument/2006/relationships/hyperlink" Target="https://online.sbis.ru/page/contractor/b8e9c800-ba25-11e0-a394-00e840312283?page=crm" TargetMode="External"/><Relationship Id="rId173" Type="http://schemas.openxmlformats.org/officeDocument/2006/relationships/hyperlink" Target="https://www.ansystem.ru/" TargetMode="External"/><Relationship Id="rId174" Type="http://schemas.openxmlformats.org/officeDocument/2006/relationships/hyperlink" Target="https://online.sbis.ru/page/contractor/41b30800-fbb0-11eb-b1e0-04280a752283?page=crm" TargetMode="External"/><Relationship Id="rId175" Type="http://schemas.openxmlformats.org/officeDocument/2006/relationships/hyperlink" Target="http://elittech.ru/" TargetMode="External"/><Relationship Id="rId176" Type="http://schemas.openxmlformats.org/officeDocument/2006/relationships/hyperlink" Target="https://online.sbis.ru/page/contractor/67214800-af25-11e0-837c-007ec0412283?page=crm&amp;tab=all&amp;anchor=finance" TargetMode="External"/><Relationship Id="rId177" Type="http://schemas.openxmlformats.org/officeDocument/2006/relationships/hyperlink" Target="http://elittech.ru/" TargetMode="External"/><Relationship Id="rId178" Type="http://schemas.openxmlformats.org/officeDocument/2006/relationships/hyperlink" Target="https://online.sbis.ru/page/contractor/67214800-af25-11e0-837c-007ec0412283?page=crm" TargetMode="External"/><Relationship Id="rId179" Type="http://schemas.openxmlformats.org/officeDocument/2006/relationships/hyperlink" Target="https://onlinecenter.ru/" TargetMode="External"/><Relationship Id="rId180" Type="http://schemas.openxmlformats.org/officeDocument/2006/relationships/hyperlink" Target="https://online.sbis.ru/page/contractor/b8e9c800-ba25-11e0-82cb-00dee6272283?page=crm" TargetMode="External"/><Relationship Id="rId181" Type="http://schemas.openxmlformats.org/officeDocument/2006/relationships/hyperlink" Target="http://avisual.ru/" TargetMode="External"/><Relationship Id="rId182" Type="http://schemas.openxmlformats.org/officeDocument/2006/relationships/hyperlink" Target="https://online.sbis.ru/page/contractor/388b0800-d498-11e3-833b-02cc17cd2283?page=crm" TargetMode="External"/><Relationship Id="rId183" Type="http://schemas.openxmlformats.org/officeDocument/2006/relationships/hyperlink" Target="https://video-stena.ru/" TargetMode="External"/><Relationship Id="rId184" Type="http://schemas.openxmlformats.org/officeDocument/2006/relationships/hyperlink" Target="https://online.sbis.ru/page/contractor/520b8800-afbc-11e8-a207-03a269f72283?page=crm&amp;tab=all&amp;anchor=tender" TargetMode="External"/><Relationship Id="rId185" Type="http://schemas.openxmlformats.org/officeDocument/2006/relationships/hyperlink" Target="http://legion-project.ru/" TargetMode="External"/><Relationship Id="rId186" Type="http://schemas.openxmlformats.org/officeDocument/2006/relationships/hyperlink" Target="https://online.sbis.ru/page/contractor/0f42c800-b701-11e0-b143-00ad5a5f2283?page=crm&amp;tab=all&amp;anchor=owners" TargetMode="External"/><Relationship Id="rId187" Type="http://schemas.openxmlformats.org/officeDocument/2006/relationships/hyperlink" Target="http://kvantkm.ru/" TargetMode="External"/><Relationship Id="rId188" Type="http://schemas.openxmlformats.org/officeDocument/2006/relationships/hyperlink" Target="https://online.sbis.ru/page/contractor/60aac800-cb9b-11e1-9bf4-0240ace22283?page=crm" TargetMode="External"/><Relationship Id="rId189" Type="http://schemas.openxmlformats.org/officeDocument/2006/relationships/hyperlink" Target="http://triplan.ru/" TargetMode="External"/><Relationship Id="rId190" Type="http://schemas.openxmlformats.org/officeDocument/2006/relationships/hyperlink" Target="https://online.sbis.ru/page/contractor/e10d0800-d2d9-11e2-81ed-02a645752283?page=crm&amp;tab=all&amp;anchor=owners" TargetMode="External"/><Relationship Id="rId191" Type="http://schemas.openxmlformats.org/officeDocument/2006/relationships/hyperlink" Target="http://subproject.ru/" TargetMode="External"/><Relationship Id="rId192" Type="http://schemas.openxmlformats.org/officeDocument/2006/relationships/hyperlink" Target="https://online.sbis.ru/page/contractor/6c4d0800-77ac-11eb-9319-04144a6d2283?page=crm&amp;tab=all&amp;anchor=owners" TargetMode="External"/><Relationship Id="rId193" Type="http://schemas.openxmlformats.org/officeDocument/2006/relationships/hyperlink" Target="http://smt-tech.ru/" TargetMode="External"/><Relationship Id="rId194" Type="http://schemas.openxmlformats.org/officeDocument/2006/relationships/hyperlink" Target="https://online.sbis.ru/page/contractor/6c4d0800-77ac-11eb-9319-04144a6d2283?page=crm&amp;tab=all&amp;anchor=owners" TargetMode="External"/><Relationship Id="rId195" Type="http://schemas.openxmlformats.org/officeDocument/2006/relationships/hyperlink" Target="http://subproject.ru/" TargetMode="External"/><Relationship Id="rId196" Type="http://schemas.openxmlformats.org/officeDocument/2006/relationships/hyperlink" Target="https://online.sbis.ru/page/contractor/6c4d0800-77ac-11eb-9319-04144a6d2283?page=crm&amp;tab=all&amp;anchor=owners" TargetMode="External"/><Relationship Id="rId197" Type="http://schemas.openxmlformats.org/officeDocument/2006/relationships/hyperlink" Target="http://viking.ru/" TargetMode="External"/><Relationship Id="rId198" Type="http://schemas.openxmlformats.org/officeDocument/2006/relationships/hyperlink" Target="https://online.sbis.ru/page/contractor/19bc8800-3c7e-11e5-a157-030311c52283?page=crm" TargetMode="External"/><Relationship Id="rId199" Type="http://schemas.openxmlformats.org/officeDocument/2006/relationships/hyperlink" Target="http://amtrus.ru/" TargetMode="External"/><Relationship Id="rId200" Type="http://schemas.openxmlformats.org/officeDocument/2006/relationships/hyperlink" Target="https://online.sbis.ru/page/contractor/4d740800-7a7f-11e0-9332-00ed4a762283?page=crm&amp;tab=all&amp;anchor=owners" TargetMode="External"/><Relationship Id="rId201" Type="http://schemas.openxmlformats.org/officeDocument/2006/relationships/hyperlink" Target="http://smart-rooms.ru/" TargetMode="External"/><Relationship Id="rId202" Type="http://schemas.openxmlformats.org/officeDocument/2006/relationships/hyperlink" Target="https://online.sbis.ru/page/contractor/912e0800-db39-11e5-b308-032070a22283?page=crm&amp;tab=all&amp;anchor=owners" TargetMode="External"/><Relationship Id="rId203" Type="http://schemas.openxmlformats.org/officeDocument/2006/relationships/hyperlink" Target="http://smart-rooms.ru/" TargetMode="External"/><Relationship Id="rId204" Type="http://schemas.openxmlformats.org/officeDocument/2006/relationships/hyperlink" Target="https://online.sbis.ru/page/contractor/912e0800-db39-11e5-b308-032070a22283?page=crm&amp;tab=all&amp;anchor=owners" TargetMode="External"/><Relationship Id="rId205" Type="http://schemas.openxmlformats.org/officeDocument/2006/relationships/hyperlink" Target="http://dstools.ru/" TargetMode="External"/><Relationship Id="rId206" Type="http://schemas.openxmlformats.org/officeDocument/2006/relationships/hyperlink" Target="https://online.sbis.ru/page/contractor/33398800-f5f1-11e5-b275-0324d7fd2283?page=crm" TargetMode="External"/><Relationship Id="rId207" Type="http://schemas.openxmlformats.org/officeDocument/2006/relationships/hyperlink" Target="http://bls-pro.ru/" TargetMode="External"/><Relationship Id="rId208" Type="http://schemas.openxmlformats.org/officeDocument/2006/relationships/hyperlink" Target="https://online.sbis.ru/page/contractor/86bb4800-991e-11e9-82c0-03c249fa2283?page=crm" TargetMode="External"/><Relationship Id="rId209" Type="http://schemas.openxmlformats.org/officeDocument/2006/relationships/hyperlink" Target="https://www.optimusconsult.ru/" TargetMode="External"/><Relationship Id="rId210" Type="http://schemas.openxmlformats.org/officeDocument/2006/relationships/hyperlink" Target="https://online.sbis.ru/page/contractor/36714800-4605-11e1-9caf-012af9052283?page=crm" TargetMode="External"/><Relationship Id="rId211" Type="http://schemas.openxmlformats.org/officeDocument/2006/relationships/hyperlink" Target="https://addreality.com/" TargetMode="External"/><Relationship Id="rId212" Type="http://schemas.openxmlformats.org/officeDocument/2006/relationships/hyperlink" Target="https://online.sbis.ru/page/contractor/420c8800-aeb4-11e2-822f-029340222283?page=crm&amp;tab=all&amp;anchor=owners" TargetMode="External"/><Relationship Id="rId213" Type="http://schemas.openxmlformats.org/officeDocument/2006/relationships/hyperlink" Target="https://online.sbis.ru/page/contractor/d2714800-d8ab-11ed-b283-04c6af6f2283?page=crm" TargetMode="External"/><Relationship Id="rId214" Type="http://schemas.openxmlformats.org/officeDocument/2006/relationships/hyperlink" Target="https://online.sbis.ru/page/contractor/0f730800-3234-11e0-9186-00b013512283?page=crm&amp;tab=all&amp;anchor=owners" TargetMode="External"/><Relationship Id="rId215" Type="http://schemas.openxmlformats.org/officeDocument/2006/relationships/hyperlink" Target="http://mediascreen.pro/" TargetMode="External"/><Relationship Id="rId216" Type="http://schemas.openxmlformats.org/officeDocument/2006/relationships/hyperlink" Target="https://online.sbis.ru/page/contractor/13ddc800-0def-11ed-a11c-044a96882283?page=crm&amp;tab=all&amp;anchor=finance" TargetMode="External"/><Relationship Id="rId217" Type="http://schemas.openxmlformats.org/officeDocument/2006/relationships/hyperlink" Target="http://visiontm.ru/" TargetMode="External"/><Relationship Id="rId218" Type="http://schemas.openxmlformats.org/officeDocument/2006/relationships/hyperlink" Target="https://online.sbis.ru/page/contractor/68a34800-88bd-11dc-822e-00e17b2d2283?page=crm&amp;tab=all&amp;anchor=owners" TargetMode="External"/><Relationship Id="rId219" Type="http://schemas.openxmlformats.org/officeDocument/2006/relationships/hyperlink" Target="http://plentystars.com/" TargetMode="External"/><Relationship Id="rId220" Type="http://schemas.openxmlformats.org/officeDocument/2006/relationships/hyperlink" Target="https://online.sbis.ru/page/contractor/9ba0c800-1d54-11e2-a144-023d72722283?page=crm" TargetMode="External"/><Relationship Id="rId221" Type="http://schemas.openxmlformats.org/officeDocument/2006/relationships/hyperlink" Target="http://indikotrade.ru/" TargetMode="External"/><Relationship Id="rId222" Type="http://schemas.openxmlformats.org/officeDocument/2006/relationships/hyperlink" Target="https://online.sbis.ru/page/contractor/9b708800-a221-11e2-8279-02a4d2142283?page=crm" TargetMode="External"/><Relationship Id="rId223" Type="http://schemas.openxmlformats.org/officeDocument/2006/relationships/hyperlink" Target="http://ledts.ru/" TargetMode="External"/><Relationship Id="rId224" Type="http://schemas.openxmlformats.org/officeDocument/2006/relationships/hyperlink" Target="https://online.sbis.ru/page/contractor/3e440800-ed07-11e8-810f-03aa31a92283?page=crm" TargetMode="External"/><Relationship Id="rId225" Type="http://schemas.openxmlformats.org/officeDocument/2006/relationships/hyperlink" Target="http://sv-telekom.ru/" TargetMode="External"/><Relationship Id="rId226" Type="http://schemas.openxmlformats.org/officeDocument/2006/relationships/hyperlink" Target="https://online.sbis.ru/page/contractor/f2614800-53f7-11e9-9198-03b906cc2283?page=crm" TargetMode="External"/><Relationship Id="rId227" Type="http://schemas.openxmlformats.org/officeDocument/2006/relationships/hyperlink" Target="http://avi-systems.ru/" TargetMode="External"/><Relationship Id="rId228" Type="http://schemas.openxmlformats.org/officeDocument/2006/relationships/hyperlink" Target="https://online.sbis.ru/page/contractor/99268800-985b-11e0-9147-00e64f8b2283?page=crm&amp;tab=all&amp;anchor=owners" TargetMode="External"/><Relationship Id="rId229" Type="http://schemas.openxmlformats.org/officeDocument/2006/relationships/hyperlink" Target="http://1000inch.ru/" TargetMode="External"/><Relationship Id="rId230" Type="http://schemas.openxmlformats.org/officeDocument/2006/relationships/hyperlink" Target="https://online.sbis.ru/page/contractor/3a40c800-4b14-11e3-91d4-02a756882283?page=crm" TargetMode="External"/><Relationship Id="rId231" Type="http://schemas.openxmlformats.org/officeDocument/2006/relationships/hyperlink" Target="https://ekranpro.ru/" TargetMode="External"/><Relationship Id="rId232" Type="http://schemas.openxmlformats.org/officeDocument/2006/relationships/hyperlink" Target="https://online.sbis.ru/page/contractor/3b928800-a979-11df-b2cd-0071caea2283?page=crm" TargetMode="External"/><Relationship Id="rId233" Type="http://schemas.openxmlformats.org/officeDocument/2006/relationships/hyperlink" Target="http://tefra-audio.ru/" TargetMode="External"/><Relationship Id="rId234" Type="http://schemas.openxmlformats.org/officeDocument/2006/relationships/hyperlink" Target="https://online.sbis.ru/page/contractor/192f4800-ec96-11ea-8117-03fdaa032283?page=crm" TargetMode="External"/><Relationship Id="rId235" Type="http://schemas.openxmlformats.org/officeDocument/2006/relationships/hyperlink" Target="http://mile-pro.ru/" TargetMode="External"/><Relationship Id="rId236" Type="http://schemas.openxmlformats.org/officeDocument/2006/relationships/hyperlink" Target="https://online.sbis.ru/page/contractor/c57d4800-ce35-11e7-9463-037788602283?page=crm&amp;tab=all&amp;anchor=owners" TargetMode="External"/><Relationship Id="rId237" Type="http://schemas.openxmlformats.org/officeDocument/2006/relationships/hyperlink" Target="http://pa-pro.ru/" TargetMode="External"/><Relationship Id="rId238" Type="http://schemas.openxmlformats.org/officeDocument/2006/relationships/hyperlink" Target="https://online.sbis.ru/page/contractor/2b064800-5889-11df-93eb-006c81ff2283?page=crm&amp;tab=all&amp;anchor=owners" TargetMode="External"/><Relationship Id="rId239" Type="http://schemas.openxmlformats.org/officeDocument/2006/relationships/hyperlink" Target="http://kits-pro.ru/" TargetMode="External"/><Relationship Id="rId240" Type="http://schemas.openxmlformats.org/officeDocument/2006/relationships/hyperlink" Target="https://online.sbis.ru/page/contractor/19ecc800-b7b1-11e4-8f55-02eeeabd2283?page=crm" TargetMode="External"/><Relationship Id="rId241" Type="http://schemas.openxmlformats.org/officeDocument/2006/relationships/hyperlink" Target="http://avms.ru/" TargetMode="External"/><Relationship Id="rId242" Type="http://schemas.openxmlformats.org/officeDocument/2006/relationships/hyperlink" Target="https://online.sbis.ru/page/contractor/5d6f8800-59d6-11e2-a2a7-025312f92283?page=crm&amp;tab=all&amp;anchor=owners" TargetMode="External"/><Relationship Id="rId243" Type="http://schemas.openxmlformats.org/officeDocument/2006/relationships/hyperlink" Target="http://avclub.pro/" TargetMode="External"/><Relationship Id="rId244" Type="http://schemas.openxmlformats.org/officeDocument/2006/relationships/hyperlink" Target="https://online.sbis.ru/page/contractor/aaa78800-72fb-11e2-857a-02a450c62283?page=crm&amp;tab=all&amp;anchor=owners" TargetMode="External"/><Relationship Id="rId245" Type="http://schemas.openxmlformats.org/officeDocument/2006/relationships/hyperlink" Target="http://kvmtech.ru/" TargetMode="External"/><Relationship Id="rId246" Type="http://schemas.openxmlformats.org/officeDocument/2006/relationships/hyperlink" Target="https://online.sbis.ru/page/contractor/656b8800-38a9-11e1-b1c5-012c4f202283?page=crm" TargetMode="External"/><Relationship Id="rId247" Type="http://schemas.openxmlformats.org/officeDocument/2006/relationships/hyperlink" Target="https://www.visualpoint.ru/" TargetMode="External"/><Relationship Id="rId248" Type="http://schemas.openxmlformats.org/officeDocument/2006/relationships/hyperlink" Target="https://online.sbis.ru/page/contractor/0255c800-efed-11e2-93c3-0314e8ed2283?page=crm" TargetMode="External"/><Relationship Id="rId249" Type="http://schemas.openxmlformats.org/officeDocument/2006/relationships/hyperlink" Target="http://initium.ru/" TargetMode="External"/><Relationship Id="rId250" Type="http://schemas.openxmlformats.org/officeDocument/2006/relationships/hyperlink" Target="https://online.sbis.ru/page/contractor/beffc800-a749-11e0-adbd-00f2ea602283?page=crm" TargetMode="External"/><Relationship Id="rId251" Type="http://schemas.openxmlformats.org/officeDocument/2006/relationships/hyperlink" Target="https://online.sbis.ru/page/contractor/a5e6c800-05ed-11e3-af10-02a4ac162283?page=crm" TargetMode="External"/><Relationship Id="rId252" Type="http://schemas.openxmlformats.org/officeDocument/2006/relationships/hyperlink" Target="http://visualeader.ru/" TargetMode="External"/><Relationship Id="rId253" Type="http://schemas.openxmlformats.org/officeDocument/2006/relationships/hyperlink" Target="https://online.sbis.ru/page/contractor/849a8800-c729-11de-a1d2-00e8fb302283?page=crm" TargetMode="External"/><Relationship Id="rId254" Type="http://schemas.openxmlformats.org/officeDocument/2006/relationships/hyperlink" Target="http://lightdec.ru/" TargetMode="External"/><Relationship Id="rId255" Type="http://schemas.openxmlformats.org/officeDocument/2006/relationships/hyperlink" Target="https://online.sbis.ru/page/contractor/82bf0800-3a8d-11ec-a3ba-042fb85c2283?page=crm" TargetMode="External"/><Relationship Id="rId256" Type="http://schemas.openxmlformats.org/officeDocument/2006/relationships/hyperlink" Target="https://www.digisky.ru/" TargetMode="External"/><Relationship Id="rId257" Type="http://schemas.openxmlformats.org/officeDocument/2006/relationships/hyperlink" Target="https://online.sbis.ru/page/contractor/6c15c800-b917-11e3-a228-02be79af2283?page=crm" TargetMode="External"/><Relationship Id="rId258" Type="http://schemas.openxmlformats.org/officeDocument/2006/relationships/hyperlink" Target="http://8ohm.ru/" TargetMode="External"/><Relationship Id="rId259" Type="http://schemas.openxmlformats.org/officeDocument/2006/relationships/hyperlink" Target="https://online.sbis.ru/page/contractor/5c7ac800-d026-11e0-8264-01283dbf2283?page=crm&amp;tab=all&amp;anchor=owners" TargetMode="External"/><Relationship Id="rId260" Type="http://schemas.openxmlformats.org/officeDocument/2006/relationships/hyperlink" Target="http://luxeng.ru/" TargetMode="External"/><Relationship Id="rId261" Type="http://schemas.openxmlformats.org/officeDocument/2006/relationships/hyperlink" Target="http://mediamontazh.ru/" TargetMode="External"/><Relationship Id="rId262" Type="http://schemas.openxmlformats.org/officeDocument/2006/relationships/hyperlink" Target="https://online.sbis.ru/page/contractor/da9a0800-1100-11e8-b67f-0380057a2283?page=crm&amp;tab=all&amp;anchor=owners" TargetMode="External"/><Relationship Id="rId263" Type="http://schemas.openxmlformats.org/officeDocument/2006/relationships/hyperlink" Target="https://elementmedia.ru/" TargetMode="External"/><Relationship Id="rId264" Type="http://schemas.openxmlformats.org/officeDocument/2006/relationships/hyperlink" Target="https://online.sbis.ru/page/contractor/5c518800-9855-11e9-a244-03c210f23283?page=crm&amp;tab=all&amp;anchor=requisites" TargetMode="External"/><Relationship Id="rId265" Type="http://schemas.openxmlformats.org/officeDocument/2006/relationships/hyperlink" Target="http://rivelty.ru/" TargetMode="External"/><Relationship Id="rId266" Type="http://schemas.openxmlformats.org/officeDocument/2006/relationships/hyperlink" Target="https://online.sbis.ru/page/contractor/584ac800-d4b1-11df-b3de-00abbf852283?page=crm" TargetMode="External"/><Relationship Id="rId267" Type="http://schemas.openxmlformats.org/officeDocument/2006/relationships/hyperlink" Target="https://hiteks.ru/" TargetMode="External"/><Relationship Id="rId268" Type="http://schemas.openxmlformats.org/officeDocument/2006/relationships/hyperlink" Target="https://online.sbis.ru/page/contractor/d578c800-ad8c-11e9-ad2e-03c4ddd42283?page=crm" TargetMode="External"/><Relationship Id="rId269" Type="http://schemas.openxmlformats.org/officeDocument/2006/relationships/hyperlink" Target="http://i-tec.ru/" TargetMode="External"/><Relationship Id="rId270" Type="http://schemas.openxmlformats.org/officeDocument/2006/relationships/hyperlink" Target="https://online.sbis.ru/page/contractor/8e800800-b95c-11e0-a242-012357e72283?page=crm&amp;tab=all&amp;anchor=owners" TargetMode="External"/><Relationship Id="rId271" Type="http://schemas.openxmlformats.org/officeDocument/2006/relationships/hyperlink" Target="http://aktru.video/" TargetMode="External"/><Relationship Id="rId272" Type="http://schemas.openxmlformats.org/officeDocument/2006/relationships/hyperlink" Target="https://online.sbis.ru/page/contractor/7af34800-d6ed-11ec-937e-044489942283?page=crm" TargetMode="External"/><Relationship Id="rId273" Type="http://schemas.openxmlformats.org/officeDocument/2006/relationships/hyperlink" Target="http://redsector.ru/" TargetMode="External"/><Relationship Id="rId274" Type="http://schemas.openxmlformats.org/officeDocument/2006/relationships/hyperlink" Target="https://online.sbis.ru/page/contractor/b9aac800-a6f1-11de-9345-007d042b2283?page=crm" TargetMode="External"/><Relationship Id="rId275" Type="http://schemas.openxmlformats.org/officeDocument/2006/relationships/hyperlink" Target="http://ledinstall.ru/" TargetMode="External"/><Relationship Id="rId276" Type="http://schemas.openxmlformats.org/officeDocument/2006/relationships/hyperlink" Target="https://online.sbis.ru/page/contractor/9777c800-6541-11e9-a06e-03bbb1d52283?page=crm" TargetMode="External"/><Relationship Id="rId277" Type="http://schemas.openxmlformats.org/officeDocument/2006/relationships/hyperlink" Target="https://amiled.ru/" TargetMode="External"/><Relationship Id="rId278" Type="http://schemas.openxmlformats.org/officeDocument/2006/relationships/hyperlink" Target="https://online.sbis.ru/page/contractor/98fd4800-608a-11e9-9f68-03bb4c242283?page=crm" TargetMode="External"/><Relationship Id="rId279" Type="http://schemas.openxmlformats.org/officeDocument/2006/relationships/hyperlink" Target="https://www.optimusconsult.ru/" TargetMode="External"/><Relationship Id="rId280" Type="http://schemas.openxmlformats.org/officeDocument/2006/relationships/hyperlink" Target="https://online.sbis.ru/page/contractor/f3b68800-d40d-11e9-b33e-03debb7f2283?page=crm" TargetMode="External"/><Relationship Id="rId281" Type="http://schemas.openxmlformats.org/officeDocument/2006/relationships/hyperlink" Target="https://alfabetmedia.ru/" TargetMode="External"/><Relationship Id="rId282" Type="http://schemas.openxmlformats.org/officeDocument/2006/relationships/hyperlink" Target="https://online.sbis.ru/page/contractor/da398800-1a9a-11e9-a187-03b055402283?page=crm" TargetMode="External"/><Relationship Id="rId283" Type="http://schemas.openxmlformats.org/officeDocument/2006/relationships/hyperlink" Target="http://vidavision.ru/" TargetMode="External"/><Relationship Id="rId284" Type="http://schemas.openxmlformats.org/officeDocument/2006/relationships/hyperlink" Target="https://online.sbis.ru/page/contractor/bbaf3780-f276-11e0-9311-00b1ba372283?page=crm" TargetMode="External"/><Relationship Id="rId285" Type="http://schemas.openxmlformats.org/officeDocument/2006/relationships/hyperlink" Target="http://xplora.ru/" TargetMode="External"/><Relationship Id="rId286" Type="http://schemas.openxmlformats.org/officeDocument/2006/relationships/hyperlink" Target="https://online.sbis.ru/page/contractor/411b4800-46b5-11e5-9725-0309464a2283?page=crm" TargetMode="External"/><Relationship Id="rId287" Type="http://schemas.openxmlformats.org/officeDocument/2006/relationships/hyperlink" Target="http://edisonmedia.ru/" TargetMode="External"/><Relationship Id="rId288" Type="http://schemas.openxmlformats.org/officeDocument/2006/relationships/hyperlink" Target="https://online.sbis.ru/page/contractor/756a8800-39b1-11e7-b3f1-036660732283?page=crm&amp;tab=all&amp;anchor=finance" TargetMode="External"/><Relationship Id="rId289" Type="http://schemas.openxmlformats.org/officeDocument/2006/relationships/hyperlink" Target="https://addreality.com/" TargetMode="External"/><Relationship Id="rId290" Type="http://schemas.openxmlformats.org/officeDocument/2006/relationships/hyperlink" Target="https://online.sbis.ru/page/contractor/402a0800-deb6-11e7-8117-03799f652283?page=crm" TargetMode="External"/><Relationship Id="rId291" Type="http://schemas.openxmlformats.org/officeDocument/2006/relationships/hyperlink" Target="http://lifesound.ru/" TargetMode="External"/><Relationship Id="rId292" Type="http://schemas.openxmlformats.org/officeDocument/2006/relationships/hyperlink" Target="https://online.sbis.ru/page/contractor/acc14800-018e-11e5-82cc-03074cc52283?page=crm&amp;tab=all&amp;anchor=owners" TargetMode="External"/><Relationship Id="rId293" Type="http://schemas.openxmlformats.org/officeDocument/2006/relationships/hyperlink" Target="http://mediasett.ru/" TargetMode="External"/><Relationship Id="rId294" Type="http://schemas.openxmlformats.org/officeDocument/2006/relationships/hyperlink" Target="https://online.sbis.ru/page/contractor/4ddb8800-b447-11e7-837b-0374af272283?page=crm&amp;tab=all&amp;anchor=finance" TargetMode="External"/><Relationship Id="rId295" Type="http://schemas.openxmlformats.org/officeDocument/2006/relationships/hyperlink" Target="http://effort-group.ru/" TargetMode="External"/><Relationship Id="rId296" Type="http://schemas.openxmlformats.org/officeDocument/2006/relationships/hyperlink" Target="https://online.sbis.ru/page/contractor/186ac800-de19-11e8-8339-03a86a682283?page=crm" TargetMode="External"/><Relationship Id="rId297" Type="http://schemas.openxmlformats.org/officeDocument/2006/relationships/hyperlink" Target="http://xpertnet.cx/" TargetMode="External"/><Relationship Id="rId298" Type="http://schemas.openxmlformats.org/officeDocument/2006/relationships/hyperlink" Target="https://online.sbis.ru/page/contractor/7f804800-a717-11e8-9a67-03a0526b2283?page=crm&amp;tab=all&amp;anchor=owners" TargetMode="External"/><Relationship Id="rId299" Type="http://schemas.openxmlformats.org/officeDocument/2006/relationships/hyperlink" Target="https://lifeinteractive.ru/" TargetMode="External"/><Relationship Id="rId300" Type="http://schemas.openxmlformats.org/officeDocument/2006/relationships/hyperlink" Target="https://online.sbis.ru/page/contractor/dd0d4800-5297-11e1-b28a-0191bd7d2283?page=crm&amp;tab=all&amp;anchor=finance" TargetMode="External"/><Relationship Id="rId301" Type="http://schemas.openxmlformats.org/officeDocument/2006/relationships/hyperlink" Target="http://avind.ru/" TargetMode="External"/><Relationship Id="rId302" Type="http://schemas.openxmlformats.org/officeDocument/2006/relationships/hyperlink" Target="https://online.sbis.ru/page/contractor/7aefc800-b53c-11e8-811d-03a30ad52283?page=crm" TargetMode="External"/><Relationship Id="rId303" Type="http://schemas.openxmlformats.org/officeDocument/2006/relationships/hyperlink" Target="http://av3.ru/" TargetMode="External"/><Relationship Id="rId304" Type="http://schemas.openxmlformats.org/officeDocument/2006/relationships/hyperlink" Target="https://online.sbis.ru/page/contractor/3354b700-a7b3-11e1-b2d7-01748b7e3283?page=crm" TargetMode="External"/><Relationship Id="rId305" Type="http://schemas.openxmlformats.org/officeDocument/2006/relationships/hyperlink" Target="http://hello.io/" TargetMode="External"/><Relationship Id="rId306" Type="http://schemas.openxmlformats.org/officeDocument/2006/relationships/hyperlink" Target="http://led-berry.ru/" TargetMode="External"/><Relationship Id="rId307" Type="http://schemas.openxmlformats.org/officeDocument/2006/relationships/hyperlink" Target="http://becsys.ru/" TargetMode="External"/><Relationship Id="rId308" Type="http://schemas.openxmlformats.org/officeDocument/2006/relationships/hyperlink" Target="http://apex-led.ru/" TargetMode="External"/><Relationship Id="rId309" Type="http://schemas.openxmlformats.org/officeDocument/2006/relationships/hyperlink" Target="https://online.sbis.ru/page/contractor/69d291e0-84ab-11ee-a7fa-04ef0aae2283?page=crm" TargetMode="External"/><Relationship Id="rId310" Type="http://schemas.openxmlformats.org/officeDocument/2006/relationships/hyperlink" Target="http://scsmedia.ru/" TargetMode="External"/><Relationship Id="rId311" Type="http://schemas.openxmlformats.org/officeDocument/2006/relationships/hyperlink" Target="https://rent4all.ru/" TargetMode="External"/><Relationship Id="rId312" Type="http://schemas.openxmlformats.org/officeDocument/2006/relationships/hyperlink" Target="https://www.inmax.ru/" TargetMode="External"/><Relationship Id="rId313" Type="http://schemas.openxmlformats.org/officeDocument/2006/relationships/hyperlink" Target="https://www.livesound.agency/" TargetMode="External"/><Relationship Id="rId314" Type="http://schemas.openxmlformats.org/officeDocument/2006/relationships/hyperlink" Target="https://online.sbis.ru/page/contractor/42090800-8d03-11de-83e9-00c81d802283?page=crm" TargetMode="External"/><Relationship Id="rId315" Type="http://schemas.openxmlformats.org/officeDocument/2006/relationships/hyperlink" Target="http://illuminarium3000.com/" TargetMode="External"/><Relationship Id="rId316" Type="http://schemas.openxmlformats.org/officeDocument/2006/relationships/hyperlink" Target="https://online.sbis.ru/page/contractor/4c7f4800-f0cf-11de-b37a-00ab12fa2283?page=crm" TargetMode="External"/><Relationship Id="rId317" Type="http://schemas.openxmlformats.org/officeDocument/2006/relationships/hyperlink" Target="http://avtechno.ru/" TargetMode="External"/><Relationship Id="rId318" Type="http://schemas.openxmlformats.org/officeDocument/2006/relationships/hyperlink" Target="http://itprogressor.ru/" TargetMode="External"/><Relationship Id="rId319" Type="http://schemas.openxmlformats.org/officeDocument/2006/relationships/hyperlink" Target="http://artel-media.com/" TargetMode="External"/><Relationship Id="rId320" Type="http://schemas.openxmlformats.org/officeDocument/2006/relationships/hyperlink" Target="http://ast-telecom.ru/" TargetMode="External"/><Relationship Id="rId321" Type="http://schemas.openxmlformats.org/officeDocument/2006/relationships/hyperlink" Target="http://ad-f.ru/" TargetMode="External"/><Relationship Id="rId322" Type="http://schemas.openxmlformats.org/officeDocument/2006/relationships/hyperlink" Target="http://www.via-tek.ru/" TargetMode="External"/><Relationship Id="rId323" Type="http://schemas.openxmlformats.org/officeDocument/2006/relationships/hyperlink" Target="http://pvt-corp.ru/" TargetMode="External"/><Relationship Id="rId324" Type="http://schemas.openxmlformats.org/officeDocument/2006/relationships/hyperlink" Target="http://avc.ru/" TargetMode="External"/><Relationship Id="rId325" Type="http://schemas.openxmlformats.org/officeDocument/2006/relationships/hyperlink" Target="http://63smart.ru/" TargetMode="External"/><Relationship Id="rId326" Type="http://schemas.openxmlformats.org/officeDocument/2006/relationships/hyperlink" Target="https://av-i.ru/" TargetMode="External"/><Relationship Id="rId327" Type="http://schemas.openxmlformats.org/officeDocument/2006/relationships/hyperlink" Target="https://intmedia.ru/" TargetMode="External"/><Relationship Id="rId328" Type="http://schemas.openxmlformats.org/officeDocument/2006/relationships/hyperlink" Target="http://av-forge.com/" TargetMode="External"/><Relationship Id="rId329" Type="http://schemas.openxmlformats.org/officeDocument/2006/relationships/hyperlink" Target="https://inmax.ru/" TargetMode="External"/><Relationship Id="rId330" Type="http://schemas.openxmlformats.org/officeDocument/2006/relationships/hyperlink" Target="http://mmedia-s.ru/" TargetMode="External"/><Relationship Id="rId331" Type="http://schemas.openxmlformats.org/officeDocument/2006/relationships/hyperlink" Target="http://nextta.ru/" TargetMode="External"/><Relationship Id="rId332" Type="http://schemas.openxmlformats.org/officeDocument/2006/relationships/hyperlink" Target="http://medi-on.ru/" TargetMode="External"/><Relationship Id="rId333" Type="http://schemas.openxmlformats.org/officeDocument/2006/relationships/hyperlink" Target="http://mediaengin.ru/" TargetMode="External"/><Relationship Id="rId334" Type="http://schemas.openxmlformats.org/officeDocument/2006/relationships/hyperlink" Target="https://manufaqtury.com/" TargetMode="External"/><Relationship Id="rId335" Type="http://schemas.openxmlformats.org/officeDocument/2006/relationships/hyperlink" Target="about:blank" TargetMode="External"/><Relationship Id="rId336" Type="http://schemas.openxmlformats.org/officeDocument/2006/relationships/hyperlink" Target="https://vdex.ru/" TargetMode="External"/><Relationship Id="rId337" Type="http://schemas.openxmlformats.org/officeDocument/2006/relationships/hyperlink" Target="http://apex-led.ru/" TargetMode="External"/><Relationship Id="rId338" Type="http://schemas.openxmlformats.org/officeDocument/2006/relationships/hyperlink" Target="https://online.sbis.ru/page/contractor/69d291e0-84ab-11ee-a7fa-04ef0aae2283?page=crm" TargetMode="External"/><Relationship Id="rId339" Type="http://schemas.openxmlformats.org/officeDocument/2006/relationships/hyperlink" Target="http://tehno-mebel.ru/" TargetMode="External"/><Relationship Id="rId340" Type="http://schemas.openxmlformats.org/officeDocument/2006/relationships/hyperlink" Target="http://sanindelaetvideo.com/" TargetMode="External"/><Relationship Id="rId341" Type="http://schemas.openxmlformats.org/officeDocument/2006/relationships/hyperlink" Target="https://toxmedia.ru/" TargetMode="External"/><Relationship Id="rId342" Type="http://schemas.openxmlformats.org/officeDocument/2006/relationships/hyperlink" Target="https://www.softlab-mm.ru/" TargetMode="External"/><Relationship Id="rId343" Type="http://schemas.openxmlformats.org/officeDocument/2006/relationships/hyperlink" Target="https://it-tehstore.ru/" TargetMode="External"/><Relationship Id="rId344" Type="http://schemas.openxmlformats.org/officeDocument/2006/relationships/hyperlink" Target="https://addrea.com/" TargetMode="External"/><Relationship Id="rId345" Type="http://schemas.openxmlformats.org/officeDocument/2006/relationships/hyperlink" Target="https://a4.ru/" TargetMode="External"/><Relationship Id="rId346" Type="http://schemas.openxmlformats.org/officeDocument/2006/relationships/hyperlink" Target="https://ddm-sound.ru/" TargetMode="External"/><Relationship Id="rId347" Type="http://schemas.openxmlformats.org/officeDocument/2006/relationships/hyperlink" Target="https://euclid.ru/" TargetMode="External"/><Relationship Id="rId348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50"/>
    <col collapsed="false" customWidth="true" hidden="false" outlineLevel="0" max="4" min="4" style="0" width="58"/>
    <col collapsed="false" customWidth="true" hidden="false" outlineLevel="0" max="5" min="5" style="0" width="20"/>
    <col collapsed="false" customWidth="true" hidden="false" outlineLevel="0" max="6" min="6" style="0" width="44"/>
    <col collapsed="false" customWidth="true" hidden="false" outlineLevel="0" max="7" min="7" style="0" width="14"/>
    <col collapsed="false" customWidth="true" hidden="false" outlineLevel="0" max="8" min="8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35.05" hidden="false" customHeight="false" outlineLevel="0" collapsed="false">
      <c r="A2" s="2" t="n">
        <v>1</v>
      </c>
      <c r="B2" s="3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4"/>
    </row>
    <row r="3" customFormat="false" ht="35.05" hidden="false" customHeight="false" outlineLevel="0" collapsed="false">
      <c r="A3" s="2" t="n">
        <v>2</v>
      </c>
      <c r="B3" s="3" t="s">
        <v>8</v>
      </c>
      <c r="C3" s="2" t="s">
        <v>14</v>
      </c>
      <c r="D3" s="2" t="s">
        <v>15</v>
      </c>
      <c r="E3" s="2" t="s">
        <v>11</v>
      </c>
      <c r="F3" s="2" t="s">
        <v>16</v>
      </c>
      <c r="G3" s="2" t="s">
        <v>13</v>
      </c>
      <c r="H3" s="4"/>
    </row>
    <row r="4" customFormat="false" ht="23.85" hidden="false" customHeight="false" outlineLevel="0" collapsed="false">
      <c r="A4" s="2" t="n">
        <v>3</v>
      </c>
      <c r="B4" s="5" t="s">
        <v>17</v>
      </c>
      <c r="C4" s="2" t="s">
        <v>18</v>
      </c>
      <c r="D4" s="2" t="s">
        <v>19</v>
      </c>
      <c r="E4" s="2" t="s">
        <v>20</v>
      </c>
      <c r="F4" s="2" t="s">
        <v>21</v>
      </c>
      <c r="G4" s="2" t="s">
        <v>13</v>
      </c>
      <c r="H4" s="4"/>
    </row>
    <row r="5" customFormat="false" ht="35.05" hidden="false" customHeight="false" outlineLevel="0" collapsed="false">
      <c r="A5" s="2" t="n">
        <v>4</v>
      </c>
      <c r="B5" s="5" t="s">
        <v>17</v>
      </c>
      <c r="C5" s="2" t="s">
        <v>22</v>
      </c>
      <c r="D5" s="2" t="s">
        <v>23</v>
      </c>
      <c r="E5" s="2" t="s">
        <v>11</v>
      </c>
      <c r="F5" s="2" t="s">
        <v>24</v>
      </c>
      <c r="G5" s="2" t="s">
        <v>13</v>
      </c>
      <c r="H5" s="4"/>
    </row>
    <row r="6" customFormat="false" ht="23.85" hidden="false" customHeight="false" outlineLevel="0" collapsed="false">
      <c r="A6" s="2" t="n">
        <v>5</v>
      </c>
      <c r="B6" s="5" t="s">
        <v>17</v>
      </c>
      <c r="C6" s="2" t="s">
        <v>25</v>
      </c>
      <c r="D6" s="2" t="s">
        <v>26</v>
      </c>
      <c r="E6" s="2" t="s">
        <v>27</v>
      </c>
      <c r="F6" s="2" t="s">
        <v>28</v>
      </c>
      <c r="G6" s="2" t="s">
        <v>13</v>
      </c>
      <c r="H6" s="4"/>
    </row>
    <row r="7" customFormat="false" ht="23.85" hidden="false" customHeight="false" outlineLevel="0" collapsed="false">
      <c r="A7" s="2" t="n">
        <v>6</v>
      </c>
      <c r="B7" s="5" t="s">
        <v>17</v>
      </c>
      <c r="C7" s="2" t="s">
        <v>29</v>
      </c>
      <c r="D7" s="2" t="s">
        <v>30</v>
      </c>
      <c r="E7" s="2" t="s">
        <v>11</v>
      </c>
      <c r="F7" s="2" t="s">
        <v>31</v>
      </c>
      <c r="G7" s="2" t="s">
        <v>13</v>
      </c>
      <c r="H7" s="4"/>
    </row>
    <row r="8" customFormat="false" ht="35.05" hidden="false" customHeight="false" outlineLevel="0" collapsed="false">
      <c r="A8" s="2" t="n">
        <v>7</v>
      </c>
      <c r="B8" s="5" t="s">
        <v>17</v>
      </c>
      <c r="C8" s="2" t="s">
        <v>32</v>
      </c>
      <c r="D8" s="2" t="s">
        <v>33</v>
      </c>
      <c r="E8" s="2" t="s">
        <v>34</v>
      </c>
      <c r="F8" s="2" t="s">
        <v>35</v>
      </c>
      <c r="G8" s="2" t="s">
        <v>13</v>
      </c>
      <c r="H8" s="4"/>
    </row>
    <row r="9" customFormat="false" ht="35.05" hidden="false" customHeight="false" outlineLevel="0" collapsed="false">
      <c r="A9" s="2" t="n">
        <v>8</v>
      </c>
      <c r="B9" s="6" t="s">
        <v>36</v>
      </c>
      <c r="C9" s="2" t="s">
        <v>37</v>
      </c>
      <c r="D9" s="2" t="s">
        <v>38</v>
      </c>
      <c r="E9" s="2" t="s">
        <v>20</v>
      </c>
      <c r="F9" s="2" t="s">
        <v>39</v>
      </c>
      <c r="G9" s="2" t="s">
        <v>13</v>
      </c>
      <c r="H9" s="4"/>
    </row>
    <row r="10" customFormat="false" ht="23.85" hidden="false" customHeight="false" outlineLevel="0" collapsed="false">
      <c r="A10" s="2" t="n">
        <v>9</v>
      </c>
      <c r="B10" s="6" t="s">
        <v>36</v>
      </c>
      <c r="C10" s="2" t="s">
        <v>40</v>
      </c>
      <c r="D10" s="2" t="s">
        <v>41</v>
      </c>
      <c r="E10" s="2" t="s">
        <v>42</v>
      </c>
      <c r="F10" s="2" t="s">
        <v>43</v>
      </c>
      <c r="G10" s="2" t="s">
        <v>13</v>
      </c>
      <c r="H10" s="4"/>
    </row>
    <row r="11" customFormat="false" ht="23.85" hidden="false" customHeight="false" outlineLevel="0" collapsed="false">
      <c r="A11" s="2" t="n">
        <v>10</v>
      </c>
      <c r="B11" s="6" t="s">
        <v>36</v>
      </c>
      <c r="C11" s="2" t="s">
        <v>44</v>
      </c>
      <c r="D11" s="2" t="s">
        <v>45</v>
      </c>
      <c r="E11" s="2" t="s">
        <v>11</v>
      </c>
      <c r="F11" s="2" t="s">
        <v>46</v>
      </c>
      <c r="G11" s="2" t="s">
        <v>13</v>
      </c>
      <c r="H11" s="4"/>
    </row>
    <row r="12" customFormat="false" ht="23.85" hidden="false" customHeight="false" outlineLevel="0" collapsed="false">
      <c r="A12" s="2" t="n">
        <v>11</v>
      </c>
      <c r="B12" s="6" t="s">
        <v>36</v>
      </c>
      <c r="C12" s="2" t="s">
        <v>47</v>
      </c>
      <c r="D12" s="2" t="s">
        <v>48</v>
      </c>
      <c r="E12" s="2" t="s">
        <v>49</v>
      </c>
      <c r="F12" s="2" t="s">
        <v>50</v>
      </c>
      <c r="G12" s="2" t="s">
        <v>13</v>
      </c>
      <c r="H12" s="4"/>
    </row>
    <row r="13" customFormat="false" ht="23.85" hidden="false" customHeight="false" outlineLevel="0" collapsed="false">
      <c r="A13" s="2" t="n">
        <v>12</v>
      </c>
      <c r="B13" s="6" t="s">
        <v>36</v>
      </c>
      <c r="C13" s="2" t="s">
        <v>51</v>
      </c>
      <c r="D13" s="2" t="s">
        <v>52</v>
      </c>
      <c r="E13" s="2" t="s">
        <v>11</v>
      </c>
      <c r="F13" s="2" t="s">
        <v>53</v>
      </c>
      <c r="G13" s="2" t="s">
        <v>13</v>
      </c>
      <c r="H13" s="4"/>
    </row>
    <row r="14" customFormat="false" ht="23.85" hidden="false" customHeight="false" outlineLevel="0" collapsed="false">
      <c r="A14" s="2" t="n">
        <v>13</v>
      </c>
      <c r="B14" s="6" t="s">
        <v>36</v>
      </c>
      <c r="C14" s="2" t="s">
        <v>54</v>
      </c>
      <c r="D14" s="2" t="s">
        <v>55</v>
      </c>
      <c r="E14" s="2" t="s">
        <v>11</v>
      </c>
      <c r="F14" s="2" t="s">
        <v>56</v>
      </c>
      <c r="G14" s="2" t="s">
        <v>13</v>
      </c>
      <c r="H14" s="4"/>
    </row>
    <row r="15" customFormat="false" ht="23.85" hidden="false" customHeight="false" outlineLevel="0" collapsed="false">
      <c r="A15" s="2" t="n">
        <v>14</v>
      </c>
      <c r="B15" s="6" t="s">
        <v>36</v>
      </c>
      <c r="C15" s="2" t="s">
        <v>57</v>
      </c>
      <c r="D15" s="2" t="s">
        <v>58</v>
      </c>
      <c r="E15" s="2" t="s">
        <v>59</v>
      </c>
      <c r="F15" s="2" t="s">
        <v>60</v>
      </c>
      <c r="G15" s="2" t="s">
        <v>13</v>
      </c>
      <c r="H15" s="4"/>
    </row>
    <row r="16" customFormat="false" ht="23.85" hidden="false" customHeight="false" outlineLevel="0" collapsed="false">
      <c r="A16" s="2" t="n">
        <v>15</v>
      </c>
      <c r="B16" s="6" t="s">
        <v>36</v>
      </c>
      <c r="C16" s="2" t="s">
        <v>61</v>
      </c>
      <c r="D16" s="2" t="s">
        <v>62</v>
      </c>
      <c r="E16" s="2" t="s">
        <v>11</v>
      </c>
      <c r="F16" s="2" t="s">
        <v>63</v>
      </c>
      <c r="G16" s="2" t="s">
        <v>13</v>
      </c>
      <c r="H16" s="4"/>
    </row>
    <row r="17" customFormat="false" ht="23.85" hidden="false" customHeight="false" outlineLevel="0" collapsed="false">
      <c r="A17" s="2" t="n">
        <v>16</v>
      </c>
      <c r="B17" s="6" t="s">
        <v>36</v>
      </c>
      <c r="C17" s="2" t="s">
        <v>64</v>
      </c>
      <c r="D17" s="2" t="s">
        <v>65</v>
      </c>
      <c r="E17" s="2" t="s">
        <v>11</v>
      </c>
      <c r="F17" s="2" t="s">
        <v>66</v>
      </c>
      <c r="G17" s="2" t="s">
        <v>13</v>
      </c>
      <c r="H17" s="4"/>
    </row>
    <row r="18" customFormat="false" ht="23.85" hidden="false" customHeight="false" outlineLevel="0" collapsed="false">
      <c r="A18" s="2" t="n">
        <v>17</v>
      </c>
      <c r="B18" s="7" t="s">
        <v>67</v>
      </c>
      <c r="C18" s="2" t="s">
        <v>68</v>
      </c>
      <c r="D18" s="2" t="s">
        <v>69</v>
      </c>
      <c r="E18" s="2" t="s">
        <v>70</v>
      </c>
      <c r="F18" s="2" t="s">
        <v>71</v>
      </c>
      <c r="G18" s="2" t="s">
        <v>13</v>
      </c>
      <c r="H18" s="4"/>
    </row>
    <row r="19" customFormat="false" ht="23.85" hidden="false" customHeight="false" outlineLevel="0" collapsed="false">
      <c r="A19" s="2" t="n">
        <v>18</v>
      </c>
      <c r="B19" s="7" t="s">
        <v>67</v>
      </c>
      <c r="C19" s="2" t="s">
        <v>72</v>
      </c>
      <c r="D19" s="2" t="s">
        <v>73</v>
      </c>
      <c r="E19" s="2" t="s">
        <v>70</v>
      </c>
      <c r="F19" s="2" t="s">
        <v>74</v>
      </c>
      <c r="G19" s="2" t="s">
        <v>13</v>
      </c>
      <c r="H19" s="4"/>
    </row>
    <row r="20" customFormat="false" ht="23.85" hidden="false" customHeight="false" outlineLevel="0" collapsed="false">
      <c r="A20" s="2" t="n">
        <v>19</v>
      </c>
      <c r="B20" s="7" t="s">
        <v>67</v>
      </c>
      <c r="C20" s="2" t="s">
        <v>75</v>
      </c>
      <c r="D20" s="2" t="s">
        <v>76</v>
      </c>
      <c r="E20" s="2" t="s">
        <v>77</v>
      </c>
      <c r="F20" s="2" t="s">
        <v>78</v>
      </c>
      <c r="G20" s="2" t="s">
        <v>13</v>
      </c>
      <c r="H20" s="4"/>
    </row>
  </sheetData>
  <autoFilter ref="A1:H20"/>
  <dataValidations count="1">
    <dataValidation allowBlank="true" errorStyle="stop" operator="between" showDropDown="false" showErrorMessage="false" showInputMessage="false" sqref="G2:G20" type="list">
      <formula1>"Не начато,В работе,Готово,Отложено"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15"/>
    <col collapsed="false" customWidth="true" hidden="false" outlineLevel="0" max="7" min="7" style="0" width="42"/>
    <col collapsed="false" customWidth="true" hidden="false" outlineLevel="0" max="9" min="8" style="0" width="40"/>
    <col collapsed="false" customWidth="true" hidden="false" outlineLevel="0" max="10" min="10" style="0" width="46"/>
    <col collapsed="false" customWidth="true" hidden="false" outlineLevel="0" max="11" min="11" style="0" width="40"/>
    <col collapsed="false" customWidth="true" hidden="false" outlineLevel="0" max="12" min="12" style="0" width="30"/>
    <col collapsed="false" customWidth="true" hidden="false" outlineLevel="0" max="13" min="13" style="0" width="16"/>
    <col collapsed="false" customWidth="true" hidden="false" outlineLevel="0" max="14" min="14" style="0" width="44"/>
    <col collapsed="false" customWidth="true" hidden="false" outlineLevel="0" max="15" min="15" style="0" width="24"/>
    <col collapsed="false" customWidth="true" hidden="false" outlineLevel="0" max="16" min="16" style="0" width="30"/>
    <col collapsed="false" customWidth="true" hidden="false" outlineLevel="0" max="17" min="17" style="0" width="44"/>
    <col collapsed="false" customWidth="true" hidden="false" outlineLevel="0" max="19" min="18" style="0" width="24"/>
    <col collapsed="false" customWidth="true" hidden="false" outlineLevel="0" max="20" min="20" style="0" width="18"/>
    <col collapsed="false" customWidth="true" hidden="false" outlineLevel="0" max="21" min="21" style="0" width="14"/>
    <col collapsed="false" customWidth="true" hidden="false" outlineLevel="0" max="22" min="22" style="0" width="30"/>
  </cols>
  <sheetData>
    <row r="1" customFormat="false" ht="51.75" hidden="false" customHeight="true" outlineLevel="0" collapsed="false">
      <c r="A1" s="1" t="s">
        <v>79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8" t="s">
        <v>90</v>
      </c>
      <c r="M1" s="8" t="s">
        <v>91</v>
      </c>
      <c r="N1" s="8" t="s">
        <v>92</v>
      </c>
      <c r="O1" s="9" t="s">
        <v>93</v>
      </c>
      <c r="P1" s="9" t="s">
        <v>94</v>
      </c>
      <c r="Q1" s="10" t="s">
        <v>95</v>
      </c>
      <c r="R1" s="11" t="s">
        <v>96</v>
      </c>
      <c r="S1" s="11" t="s">
        <v>97</v>
      </c>
      <c r="T1" s="11" t="s">
        <v>98</v>
      </c>
      <c r="U1" s="11" t="s">
        <v>99</v>
      </c>
      <c r="V1" s="11" t="s">
        <v>100</v>
      </c>
    </row>
    <row r="2" customFormat="false" ht="68.65" hidden="false" customHeight="false" outlineLevel="0" collapsed="false">
      <c r="A2" s="2" t="s">
        <v>101</v>
      </c>
      <c r="B2" s="2" t="s">
        <v>102</v>
      </c>
      <c r="C2" s="2" t="s">
        <v>103</v>
      </c>
      <c r="D2" s="2" t="n">
        <v>7701004101</v>
      </c>
      <c r="E2" s="12" t="n">
        <f aca="false">INDEX(База!$E:$E,2)</f>
        <v>26652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13" t="s">
        <v>111</v>
      </c>
      <c r="N2" s="2" t="s">
        <v>112</v>
      </c>
      <c r="O2" s="2" t="s">
        <v>113</v>
      </c>
      <c r="P2" s="2" t="s">
        <v>114</v>
      </c>
      <c r="Q2" s="2"/>
      <c r="R2" s="2"/>
      <c r="S2" s="2"/>
      <c r="T2" s="2"/>
      <c r="U2" s="4"/>
      <c r="V2" s="2"/>
    </row>
    <row r="3" customFormat="false" ht="46.25" hidden="false" customHeight="false" outlineLevel="0" collapsed="false">
      <c r="A3" s="2" t="s">
        <v>115</v>
      </c>
      <c r="B3" s="2" t="s">
        <v>102</v>
      </c>
      <c r="C3" s="2" t="s">
        <v>116</v>
      </c>
      <c r="D3" s="2" t="n">
        <v>7743553167</v>
      </c>
      <c r="E3" s="12" t="n">
        <f aca="false">INDEX(База!$E:$E,3)</f>
        <v>15243</v>
      </c>
      <c r="F3" s="2" t="s">
        <v>104</v>
      </c>
      <c r="G3" s="2" t="s">
        <v>117</v>
      </c>
      <c r="H3" s="2" t="s">
        <v>118</v>
      </c>
      <c r="I3" s="2" t="s">
        <v>119</v>
      </c>
      <c r="J3" s="2" t="s">
        <v>120</v>
      </c>
      <c r="K3" s="2" t="s">
        <v>121</v>
      </c>
      <c r="L3" s="2" t="s">
        <v>110</v>
      </c>
      <c r="M3" s="13" t="s">
        <v>111</v>
      </c>
      <c r="N3" s="2" t="s">
        <v>112</v>
      </c>
      <c r="O3" s="14" t="s">
        <v>122</v>
      </c>
      <c r="P3" s="2"/>
      <c r="Q3" s="15" t="s">
        <v>123</v>
      </c>
      <c r="R3" s="2"/>
      <c r="S3" s="2"/>
      <c r="T3" s="2"/>
      <c r="U3" s="4"/>
      <c r="V3" s="2"/>
    </row>
    <row r="4" customFormat="false" ht="68.65" hidden="false" customHeight="false" outlineLevel="0" collapsed="false">
      <c r="A4" s="2" t="s">
        <v>124</v>
      </c>
      <c r="B4" s="2" t="s">
        <v>102</v>
      </c>
      <c r="C4" s="2" t="s">
        <v>125</v>
      </c>
      <c r="D4" s="2" t="n">
        <v>7727004113</v>
      </c>
      <c r="E4" s="12" t="n">
        <f aca="false">INDEX(База!$E:$E,4)</f>
        <v>14416</v>
      </c>
      <c r="F4" s="2" t="s">
        <v>104</v>
      </c>
      <c r="G4" s="2" t="s">
        <v>126</v>
      </c>
      <c r="H4" s="2" t="s">
        <v>127</v>
      </c>
      <c r="I4" s="2" t="s">
        <v>128</v>
      </c>
      <c r="J4" s="2" t="s">
        <v>129</v>
      </c>
      <c r="K4" s="2" t="s">
        <v>130</v>
      </c>
      <c r="L4" s="2" t="s">
        <v>110</v>
      </c>
      <c r="M4" s="13" t="s">
        <v>111</v>
      </c>
      <c r="N4" s="2" t="s">
        <v>112</v>
      </c>
      <c r="O4" s="2" t="s">
        <v>113</v>
      </c>
      <c r="P4" s="2" t="s">
        <v>131</v>
      </c>
      <c r="Q4" s="2"/>
      <c r="R4" s="2"/>
      <c r="S4" s="2"/>
      <c r="T4" s="2"/>
      <c r="U4" s="4"/>
      <c r="V4" s="2"/>
    </row>
    <row r="5" customFormat="false" ht="68.65" hidden="false" customHeight="false" outlineLevel="0" collapsed="false">
      <c r="A5" s="2" t="s">
        <v>132</v>
      </c>
      <c r="B5" s="2" t="s">
        <v>102</v>
      </c>
      <c r="C5" s="2" t="s">
        <v>133</v>
      </c>
      <c r="D5" s="2" t="n">
        <v>7730081654</v>
      </c>
      <c r="E5" s="12" t="n">
        <f aca="false">INDEX(База!$E:$E,6)</f>
        <v>9322</v>
      </c>
      <c r="F5" s="2" t="s">
        <v>104</v>
      </c>
      <c r="G5" s="2" t="s">
        <v>134</v>
      </c>
      <c r="H5" s="2" t="s">
        <v>135</v>
      </c>
      <c r="I5" s="2" t="s">
        <v>136</v>
      </c>
      <c r="J5" s="2" t="s">
        <v>137</v>
      </c>
      <c r="K5" s="2" t="s">
        <v>138</v>
      </c>
      <c r="L5" s="2" t="s">
        <v>110</v>
      </c>
      <c r="M5" s="13" t="s">
        <v>111</v>
      </c>
      <c r="N5" s="2" t="s">
        <v>112</v>
      </c>
      <c r="O5" s="2" t="s">
        <v>139</v>
      </c>
      <c r="P5" s="2" t="s">
        <v>140</v>
      </c>
      <c r="Q5" s="2"/>
      <c r="R5" s="2"/>
      <c r="S5" s="2"/>
      <c r="T5" s="2"/>
      <c r="U5" s="4"/>
      <c r="V5" s="2"/>
    </row>
    <row r="6" customFormat="false" ht="57.45" hidden="false" customHeight="false" outlineLevel="0" collapsed="false">
      <c r="A6" s="2" t="s">
        <v>141</v>
      </c>
      <c r="B6" s="2" t="s">
        <v>142</v>
      </c>
      <c r="C6" s="2" t="s">
        <v>143</v>
      </c>
      <c r="D6" s="2" t="n">
        <v>7708651718</v>
      </c>
      <c r="E6" s="12" t="n">
        <f aca="false">INDEX(База!$E:$E,7)</f>
        <v>8933</v>
      </c>
      <c r="F6" s="2" t="s">
        <v>104</v>
      </c>
      <c r="G6" s="2" t="s">
        <v>144</v>
      </c>
      <c r="H6" s="2" t="s">
        <v>145</v>
      </c>
      <c r="I6" s="2" t="s">
        <v>146</v>
      </c>
      <c r="J6" s="2" t="s">
        <v>147</v>
      </c>
      <c r="K6" s="2" t="s">
        <v>148</v>
      </c>
      <c r="L6" s="2" t="s">
        <v>149</v>
      </c>
      <c r="M6" s="13" t="s">
        <v>111</v>
      </c>
      <c r="N6" s="2" t="s">
        <v>150</v>
      </c>
      <c r="O6" s="2" t="s">
        <v>113</v>
      </c>
      <c r="P6" s="2" t="s">
        <v>151</v>
      </c>
      <c r="Q6" s="2"/>
      <c r="R6" s="2"/>
      <c r="S6" s="2"/>
      <c r="T6" s="2"/>
      <c r="U6" s="4"/>
      <c r="V6" s="2"/>
    </row>
    <row r="7" customFormat="false" ht="57.45" hidden="false" customHeight="false" outlineLevel="0" collapsed="false">
      <c r="A7" s="2" t="s">
        <v>152</v>
      </c>
      <c r="B7" s="2" t="s">
        <v>153</v>
      </c>
      <c r="C7" s="2" t="s">
        <v>154</v>
      </c>
      <c r="D7" s="2" t="n">
        <v>7731625191</v>
      </c>
      <c r="E7" s="12" t="n">
        <f aca="false">INDEX(База!$E:$E,8)</f>
        <v>4100</v>
      </c>
      <c r="F7" s="2" t="s">
        <v>104</v>
      </c>
      <c r="G7" s="2" t="s">
        <v>155</v>
      </c>
      <c r="H7" s="2" t="s">
        <v>156</v>
      </c>
      <c r="I7" s="2" t="s">
        <v>157</v>
      </c>
      <c r="J7" s="2" t="s">
        <v>158</v>
      </c>
      <c r="K7" s="2" t="s">
        <v>159</v>
      </c>
      <c r="L7" s="2" t="s">
        <v>160</v>
      </c>
      <c r="M7" s="13" t="s">
        <v>111</v>
      </c>
      <c r="N7" s="2" t="s">
        <v>161</v>
      </c>
      <c r="O7" s="2" t="s">
        <v>139</v>
      </c>
      <c r="P7" s="2" t="s">
        <v>162</v>
      </c>
      <c r="Q7" s="2"/>
      <c r="R7" s="2"/>
      <c r="S7" s="2"/>
      <c r="T7" s="2"/>
      <c r="U7" s="4"/>
      <c r="V7" s="2"/>
    </row>
    <row r="8" customFormat="false" ht="57.45" hidden="false" customHeight="false" outlineLevel="0" collapsed="false">
      <c r="A8" s="2" t="s">
        <v>163</v>
      </c>
      <c r="B8" s="2" t="s">
        <v>153</v>
      </c>
      <c r="C8" s="2" t="s">
        <v>164</v>
      </c>
      <c r="D8" s="2" t="n">
        <v>9705117847</v>
      </c>
      <c r="E8" s="12" t="n">
        <f aca="false">INDEX(База!$E:$E,9)</f>
        <v>3975</v>
      </c>
      <c r="F8" s="2" t="s">
        <v>104</v>
      </c>
      <c r="G8" s="2" t="s">
        <v>165</v>
      </c>
      <c r="H8" s="2" t="s">
        <v>166</v>
      </c>
      <c r="I8" s="2" t="s">
        <v>167</v>
      </c>
      <c r="J8" s="2" t="s">
        <v>168</v>
      </c>
      <c r="K8" s="2" t="s">
        <v>169</v>
      </c>
      <c r="L8" s="2" t="s">
        <v>160</v>
      </c>
      <c r="M8" s="13" t="s">
        <v>111</v>
      </c>
      <c r="N8" s="2" t="s">
        <v>161</v>
      </c>
      <c r="O8" s="2" t="s">
        <v>113</v>
      </c>
      <c r="P8" s="2" t="s">
        <v>170</v>
      </c>
      <c r="Q8" s="2"/>
      <c r="R8" s="2"/>
      <c r="S8" s="2"/>
      <c r="T8" s="2"/>
      <c r="U8" s="4"/>
      <c r="V8" s="2"/>
    </row>
    <row r="9" customFormat="false" ht="79.85" hidden="false" customHeight="false" outlineLevel="0" collapsed="false">
      <c r="A9" s="2" t="s">
        <v>171</v>
      </c>
      <c r="B9" s="2" t="s">
        <v>153</v>
      </c>
      <c r="C9" s="2" t="s">
        <v>172</v>
      </c>
      <c r="D9" s="2" t="n">
        <v>9724154876</v>
      </c>
      <c r="E9" s="12" t="n">
        <f aca="false">INDEX(База!$E:$E,11)</f>
        <v>3182</v>
      </c>
      <c r="F9" s="2" t="s">
        <v>104</v>
      </c>
      <c r="G9" s="2" t="s">
        <v>173</v>
      </c>
      <c r="H9" s="2" t="s">
        <v>174</v>
      </c>
      <c r="I9" s="2" t="s">
        <v>175</v>
      </c>
      <c r="J9" s="2" t="s">
        <v>176</v>
      </c>
      <c r="K9" s="2" t="s">
        <v>177</v>
      </c>
      <c r="L9" s="2" t="s">
        <v>178</v>
      </c>
      <c r="M9" s="16" t="s">
        <v>179</v>
      </c>
      <c r="N9" s="2" t="s">
        <v>161</v>
      </c>
      <c r="O9" s="2" t="s">
        <v>139</v>
      </c>
      <c r="P9" s="2" t="s">
        <v>180</v>
      </c>
      <c r="Q9" s="2"/>
      <c r="R9" s="2"/>
      <c r="S9" s="2"/>
      <c r="T9" s="2"/>
      <c r="U9" s="4"/>
      <c r="V9" s="2"/>
    </row>
    <row r="10" customFormat="false" ht="57.45" hidden="false" customHeight="false" outlineLevel="0" collapsed="false">
      <c r="A10" s="2" t="s">
        <v>181</v>
      </c>
      <c r="B10" s="2" t="s">
        <v>102</v>
      </c>
      <c r="C10" s="2" t="s">
        <v>182</v>
      </c>
      <c r="D10" s="2" t="n">
        <v>7810819986</v>
      </c>
      <c r="E10" s="12" t="n">
        <f aca="false">INDEX(База!$E:$E,12)</f>
        <v>3137</v>
      </c>
      <c r="F10" s="2" t="s">
        <v>183</v>
      </c>
      <c r="G10" s="2" t="s">
        <v>184</v>
      </c>
      <c r="H10" s="2" t="s">
        <v>185</v>
      </c>
      <c r="I10" s="2" t="s">
        <v>186</v>
      </c>
      <c r="J10" s="2" t="s">
        <v>187</v>
      </c>
      <c r="K10" s="2" t="s">
        <v>188</v>
      </c>
      <c r="L10" s="2" t="s">
        <v>110</v>
      </c>
      <c r="M10" s="13" t="s">
        <v>111</v>
      </c>
      <c r="N10" s="2" t="s">
        <v>112</v>
      </c>
      <c r="O10" s="2" t="s">
        <v>139</v>
      </c>
      <c r="P10" s="2" t="s">
        <v>189</v>
      </c>
      <c r="Q10" s="2"/>
      <c r="R10" s="2"/>
      <c r="S10" s="2"/>
      <c r="T10" s="2"/>
      <c r="U10" s="4"/>
      <c r="V10" s="2"/>
    </row>
    <row r="11" customFormat="false" ht="79.85" hidden="false" customHeight="false" outlineLevel="0" collapsed="false">
      <c r="A11" s="2" t="s">
        <v>190</v>
      </c>
      <c r="B11" s="2" t="s">
        <v>142</v>
      </c>
      <c r="C11" s="2" t="s">
        <v>191</v>
      </c>
      <c r="D11" s="2" t="n">
        <v>6732026311</v>
      </c>
      <c r="E11" s="12" t="n">
        <f aca="false">INDEX(База!$E:$E,13)</f>
        <v>2555</v>
      </c>
      <c r="F11" s="2"/>
      <c r="G11" s="2" t="s">
        <v>192</v>
      </c>
      <c r="H11" s="2" t="s">
        <v>193</v>
      </c>
      <c r="I11" s="2" t="s">
        <v>194</v>
      </c>
      <c r="J11" s="2" t="s">
        <v>195</v>
      </c>
      <c r="K11" s="2" t="s">
        <v>196</v>
      </c>
      <c r="L11" s="2" t="s">
        <v>149</v>
      </c>
      <c r="M11" s="16" t="s">
        <v>179</v>
      </c>
      <c r="N11" s="2" t="s">
        <v>150</v>
      </c>
      <c r="O11" s="2" t="s">
        <v>113</v>
      </c>
      <c r="P11" s="2" t="s">
        <v>197</v>
      </c>
      <c r="Q11" s="2"/>
      <c r="R11" s="2"/>
      <c r="S11" s="2"/>
      <c r="T11" s="2"/>
      <c r="U11" s="4"/>
      <c r="V11" s="2"/>
    </row>
    <row r="12" customFormat="false" ht="46.25" hidden="false" customHeight="false" outlineLevel="0" collapsed="false">
      <c r="A12" s="2" t="s">
        <v>198</v>
      </c>
      <c r="B12" s="2" t="s">
        <v>102</v>
      </c>
      <c r="C12" s="2" t="s">
        <v>199</v>
      </c>
      <c r="D12" s="2" t="n">
        <v>7720820948</v>
      </c>
      <c r="E12" s="12" t="n">
        <f aca="false">INDEX(База!$E:$E,14)</f>
        <v>2180</v>
      </c>
      <c r="F12" s="2" t="s">
        <v>104</v>
      </c>
      <c r="G12" s="2" t="s">
        <v>200</v>
      </c>
      <c r="H12" s="2" t="s">
        <v>118</v>
      </c>
      <c r="I12" s="2" t="s">
        <v>119</v>
      </c>
      <c r="J12" s="2" t="s">
        <v>120</v>
      </c>
      <c r="K12" s="2" t="s">
        <v>121</v>
      </c>
      <c r="L12" s="2" t="s">
        <v>110</v>
      </c>
      <c r="M12" s="13" t="s">
        <v>111</v>
      </c>
      <c r="N12" s="2" t="s">
        <v>112</v>
      </c>
      <c r="O12" s="14" t="s">
        <v>201</v>
      </c>
      <c r="P12" s="2"/>
      <c r="Q12" s="15" t="s">
        <v>123</v>
      </c>
      <c r="R12" s="2"/>
      <c r="S12" s="2"/>
      <c r="T12" s="2"/>
      <c r="U12" s="4"/>
      <c r="V12" s="2"/>
    </row>
    <row r="13" customFormat="false" ht="68.65" hidden="false" customHeight="false" outlineLevel="0" collapsed="false">
      <c r="A13" s="2" t="s">
        <v>202</v>
      </c>
      <c r="B13" s="2" t="s">
        <v>153</v>
      </c>
      <c r="C13" s="2" t="s">
        <v>203</v>
      </c>
      <c r="D13" s="2" t="n">
        <v>7709697296</v>
      </c>
      <c r="E13" s="12" t="n">
        <f aca="false">INDEX(База!$E:$E,15)</f>
        <v>1991</v>
      </c>
      <c r="F13" s="2" t="s">
        <v>104</v>
      </c>
      <c r="G13" s="2" t="s">
        <v>204</v>
      </c>
      <c r="H13" s="2" t="s">
        <v>205</v>
      </c>
      <c r="I13" s="2" t="s">
        <v>206</v>
      </c>
      <c r="J13" s="2" t="s">
        <v>207</v>
      </c>
      <c r="K13" s="2" t="s">
        <v>208</v>
      </c>
      <c r="L13" s="2" t="s">
        <v>160</v>
      </c>
      <c r="M13" s="13" t="s">
        <v>111</v>
      </c>
      <c r="N13" s="2" t="s">
        <v>161</v>
      </c>
      <c r="O13" s="2" t="s">
        <v>139</v>
      </c>
      <c r="P13" s="2" t="s">
        <v>209</v>
      </c>
      <c r="Q13" s="15" t="s">
        <v>210</v>
      </c>
      <c r="R13" s="2"/>
      <c r="S13" s="2"/>
      <c r="T13" s="2"/>
      <c r="U13" s="4"/>
      <c r="V13" s="2"/>
    </row>
    <row r="14" customFormat="false" ht="68.65" hidden="false" customHeight="false" outlineLevel="0" collapsed="false">
      <c r="A14" s="2" t="s">
        <v>211</v>
      </c>
      <c r="B14" s="2" t="s">
        <v>102</v>
      </c>
      <c r="C14" s="2" t="s">
        <v>212</v>
      </c>
      <c r="D14" s="2" t="n">
        <v>7703402732</v>
      </c>
      <c r="E14" s="12" t="n">
        <f aca="false">INDEX(База!$E:$E,17)</f>
        <v>1953</v>
      </c>
      <c r="F14" s="2" t="s">
        <v>104</v>
      </c>
      <c r="G14" s="2" t="s">
        <v>213</v>
      </c>
      <c r="H14" s="2" t="s">
        <v>214</v>
      </c>
      <c r="I14" s="2" t="s">
        <v>215</v>
      </c>
      <c r="J14" s="2" t="s">
        <v>216</v>
      </c>
      <c r="K14" s="2" t="s">
        <v>177</v>
      </c>
      <c r="L14" s="2" t="s">
        <v>110</v>
      </c>
      <c r="M14" s="13" t="s">
        <v>111</v>
      </c>
      <c r="N14" s="2" t="s">
        <v>112</v>
      </c>
      <c r="O14" s="2" t="s">
        <v>139</v>
      </c>
      <c r="P14" s="2" t="s">
        <v>217</v>
      </c>
      <c r="Q14" s="2"/>
      <c r="R14" s="2"/>
      <c r="S14" s="2"/>
      <c r="T14" s="2"/>
      <c r="U14" s="4"/>
      <c r="V14" s="2"/>
    </row>
    <row r="15" customFormat="false" ht="57.45" hidden="false" customHeight="false" outlineLevel="0" collapsed="false">
      <c r="A15" s="2" t="s">
        <v>218</v>
      </c>
      <c r="B15" s="2" t="s">
        <v>102</v>
      </c>
      <c r="C15" s="2" t="s">
        <v>219</v>
      </c>
      <c r="D15" s="2" t="n">
        <v>7722283103</v>
      </c>
      <c r="E15" s="12" t="n">
        <f aca="false">INDEX(База!$E:$E,18)</f>
        <v>1856</v>
      </c>
      <c r="F15" s="2" t="s">
        <v>104</v>
      </c>
      <c r="G15" s="2" t="s">
        <v>220</v>
      </c>
      <c r="H15" s="2" t="s">
        <v>221</v>
      </c>
      <c r="I15" s="2" t="s">
        <v>222</v>
      </c>
      <c r="J15" s="2" t="s">
        <v>223</v>
      </c>
      <c r="K15" s="2" t="s">
        <v>177</v>
      </c>
      <c r="L15" s="2" t="s">
        <v>110</v>
      </c>
      <c r="M15" s="13" t="s">
        <v>111</v>
      </c>
      <c r="N15" s="2" t="s">
        <v>112</v>
      </c>
      <c r="O15" s="2" t="s">
        <v>139</v>
      </c>
      <c r="P15" s="2" t="s">
        <v>224</v>
      </c>
      <c r="Q15" s="2"/>
      <c r="R15" s="2"/>
      <c r="S15" s="2"/>
      <c r="T15" s="2"/>
      <c r="U15" s="4"/>
      <c r="V15" s="2"/>
    </row>
    <row r="16" customFormat="false" ht="79.85" hidden="false" customHeight="false" outlineLevel="0" collapsed="false">
      <c r="A16" s="2" t="s">
        <v>225</v>
      </c>
      <c r="B16" s="2" t="s">
        <v>226</v>
      </c>
      <c r="C16" s="2" t="s">
        <v>227</v>
      </c>
      <c r="D16" s="2" t="n">
        <v>9717098324</v>
      </c>
      <c r="E16" s="12" t="n">
        <f aca="false">INDEX(База!$E:$E,19)</f>
        <v>1832</v>
      </c>
      <c r="F16" s="2" t="s">
        <v>104</v>
      </c>
      <c r="G16" s="2" t="s">
        <v>228</v>
      </c>
      <c r="H16" s="2" t="s">
        <v>229</v>
      </c>
      <c r="I16" s="2" t="s">
        <v>230</v>
      </c>
      <c r="J16" s="2" t="s">
        <v>231</v>
      </c>
      <c r="K16" s="2" t="s">
        <v>232</v>
      </c>
      <c r="L16" s="2" t="s">
        <v>233</v>
      </c>
      <c r="M16" s="17" t="s">
        <v>234</v>
      </c>
      <c r="N16" s="2" t="s">
        <v>235</v>
      </c>
      <c r="O16" s="2" t="s">
        <v>139</v>
      </c>
      <c r="P16" s="2" t="s">
        <v>236</v>
      </c>
      <c r="Q16" s="15" t="s">
        <v>237</v>
      </c>
      <c r="R16" s="2"/>
      <c r="S16" s="2"/>
      <c r="T16" s="2"/>
      <c r="U16" s="4"/>
      <c r="V16" s="2"/>
    </row>
    <row r="17" customFormat="false" ht="79.85" hidden="false" customHeight="false" outlineLevel="0" collapsed="false">
      <c r="A17" s="2" t="s">
        <v>238</v>
      </c>
      <c r="B17" s="2" t="s">
        <v>102</v>
      </c>
      <c r="C17" s="2" t="s">
        <v>239</v>
      </c>
      <c r="D17" s="2" t="n">
        <v>7810341266</v>
      </c>
      <c r="E17" s="12" t="n">
        <f aca="false">INDEX(База!$E:$E,20)</f>
        <v>1575</v>
      </c>
      <c r="F17" s="2" t="s">
        <v>183</v>
      </c>
      <c r="G17" s="2" t="s">
        <v>240</v>
      </c>
      <c r="H17" s="2" t="s">
        <v>241</v>
      </c>
      <c r="I17" s="2" t="s">
        <v>242</v>
      </c>
      <c r="J17" s="2" t="s">
        <v>243</v>
      </c>
      <c r="K17" s="2" t="s">
        <v>244</v>
      </c>
      <c r="L17" s="2" t="s">
        <v>110</v>
      </c>
      <c r="M17" s="13" t="s">
        <v>111</v>
      </c>
      <c r="N17" s="2" t="s">
        <v>112</v>
      </c>
      <c r="O17" s="2" t="s">
        <v>139</v>
      </c>
      <c r="P17" s="2"/>
      <c r="Q17" s="2"/>
      <c r="R17" s="2"/>
      <c r="S17" s="2"/>
      <c r="T17" s="2"/>
      <c r="U17" s="4"/>
      <c r="V17" s="2"/>
    </row>
    <row r="18" customFormat="false" ht="79.85" hidden="false" customHeight="false" outlineLevel="0" collapsed="false">
      <c r="A18" s="2" t="s">
        <v>245</v>
      </c>
      <c r="B18" s="2" t="s">
        <v>102</v>
      </c>
      <c r="C18" s="2" t="s">
        <v>246</v>
      </c>
      <c r="D18" s="2" t="n">
        <v>3445084000</v>
      </c>
      <c r="E18" s="12" t="n">
        <f aca="false">INDEX(База!$E:$E,21)</f>
        <v>1355</v>
      </c>
      <c r="F18" s="2" t="s">
        <v>104</v>
      </c>
      <c r="G18" s="2" t="s">
        <v>247</v>
      </c>
      <c r="H18" s="2" t="s">
        <v>248</v>
      </c>
      <c r="I18" s="2" t="s">
        <v>242</v>
      </c>
      <c r="J18" s="2" t="s">
        <v>249</v>
      </c>
      <c r="K18" s="2" t="s">
        <v>250</v>
      </c>
      <c r="L18" s="2" t="s">
        <v>110</v>
      </c>
      <c r="M18" s="13" t="s">
        <v>111</v>
      </c>
      <c r="N18" s="2" t="s">
        <v>112</v>
      </c>
      <c r="O18" s="2" t="s">
        <v>139</v>
      </c>
      <c r="P18" s="2" t="s">
        <v>251</v>
      </c>
      <c r="Q18" s="2"/>
      <c r="R18" s="2"/>
      <c r="S18" s="2"/>
      <c r="T18" s="2"/>
      <c r="U18" s="4"/>
      <c r="V18" s="2"/>
    </row>
    <row r="19" customFormat="false" ht="91" hidden="false" customHeight="false" outlineLevel="0" collapsed="false">
      <c r="A19" s="2" t="s">
        <v>252</v>
      </c>
      <c r="B19" s="2" t="s">
        <v>102</v>
      </c>
      <c r="C19" s="2" t="s">
        <v>253</v>
      </c>
      <c r="D19" s="2" t="n">
        <v>7736038341</v>
      </c>
      <c r="E19" s="12" t="n">
        <f aca="false">INDEX(База!$E:$E,22)</f>
        <v>1340</v>
      </c>
      <c r="F19" s="2" t="s">
        <v>104</v>
      </c>
      <c r="G19" s="2" t="s">
        <v>254</v>
      </c>
      <c r="H19" s="2" t="s">
        <v>255</v>
      </c>
      <c r="I19" s="2" t="s">
        <v>256</v>
      </c>
      <c r="J19" s="2" t="s">
        <v>257</v>
      </c>
      <c r="K19" s="2" t="s">
        <v>258</v>
      </c>
      <c r="L19" s="2" t="s">
        <v>110</v>
      </c>
      <c r="M19" s="13" t="s">
        <v>111</v>
      </c>
      <c r="N19" s="2" t="s">
        <v>112</v>
      </c>
      <c r="O19" s="2" t="s">
        <v>139</v>
      </c>
      <c r="P19" s="2" t="s">
        <v>259</v>
      </c>
      <c r="Q19" s="2"/>
      <c r="R19" s="2"/>
      <c r="S19" s="2"/>
      <c r="T19" s="2"/>
      <c r="U19" s="4"/>
      <c r="V19" s="2"/>
    </row>
    <row r="20" customFormat="false" ht="68.65" hidden="false" customHeight="false" outlineLevel="0" collapsed="false">
      <c r="A20" s="2" t="s">
        <v>260</v>
      </c>
      <c r="B20" s="2" t="s">
        <v>142</v>
      </c>
      <c r="C20" s="2" t="s">
        <v>261</v>
      </c>
      <c r="D20" s="2" t="n">
        <v>9715207761</v>
      </c>
      <c r="E20" s="12" t="n">
        <f aca="false">INDEX(База!$E:$E,23)</f>
        <v>1263</v>
      </c>
      <c r="F20" s="2" t="s">
        <v>104</v>
      </c>
      <c r="G20" s="2" t="s">
        <v>262</v>
      </c>
      <c r="H20" s="2" t="s">
        <v>263</v>
      </c>
      <c r="I20" s="2" t="s">
        <v>264</v>
      </c>
      <c r="J20" s="2" t="s">
        <v>265</v>
      </c>
      <c r="K20" s="2" t="s">
        <v>266</v>
      </c>
      <c r="L20" s="2" t="s">
        <v>267</v>
      </c>
      <c r="M20" s="13" t="s">
        <v>111</v>
      </c>
      <c r="N20" s="2" t="s">
        <v>150</v>
      </c>
      <c r="O20" s="2" t="s">
        <v>113</v>
      </c>
      <c r="P20" s="2" t="s">
        <v>268</v>
      </c>
      <c r="Q20" s="2"/>
      <c r="R20" s="2"/>
      <c r="S20" s="2"/>
      <c r="T20" s="2"/>
      <c r="U20" s="4"/>
      <c r="V20" s="2"/>
    </row>
    <row r="21" customFormat="false" ht="79.85" hidden="false" customHeight="false" outlineLevel="0" collapsed="false">
      <c r="A21" s="2" t="s">
        <v>269</v>
      </c>
      <c r="B21" s="2" t="s">
        <v>270</v>
      </c>
      <c r="C21" s="2" t="s">
        <v>271</v>
      </c>
      <c r="D21" s="2" t="n">
        <v>7804472253</v>
      </c>
      <c r="E21" s="12" t="n">
        <f aca="false">INDEX(База!$E:$E,24)</f>
        <v>1052</v>
      </c>
      <c r="F21" s="2" t="s">
        <v>183</v>
      </c>
      <c r="G21" s="2" t="s">
        <v>272</v>
      </c>
      <c r="H21" s="2" t="s">
        <v>273</v>
      </c>
      <c r="I21" s="2" t="s">
        <v>274</v>
      </c>
      <c r="J21" s="2" t="s">
        <v>275</v>
      </c>
      <c r="K21" s="2" t="s">
        <v>276</v>
      </c>
      <c r="L21" s="2" t="s">
        <v>277</v>
      </c>
      <c r="M21" s="18" t="s">
        <v>278</v>
      </c>
      <c r="N21" s="2" t="s">
        <v>279</v>
      </c>
      <c r="O21" s="2" t="s">
        <v>113</v>
      </c>
      <c r="P21" s="2" t="s">
        <v>280</v>
      </c>
      <c r="Q21" s="15" t="s">
        <v>237</v>
      </c>
      <c r="R21" s="2"/>
      <c r="S21" s="2"/>
      <c r="T21" s="2"/>
      <c r="U21" s="4"/>
      <c r="V21" s="2"/>
    </row>
    <row r="22" customFormat="false" ht="79.85" hidden="false" customHeight="false" outlineLevel="0" collapsed="false">
      <c r="A22" s="2" t="s">
        <v>281</v>
      </c>
      <c r="B22" s="2" t="s">
        <v>102</v>
      </c>
      <c r="C22" s="2" t="s">
        <v>282</v>
      </c>
      <c r="D22" s="2" t="n">
        <v>7720768984</v>
      </c>
      <c r="E22" s="12" t="n">
        <f aca="false">INDEX(База!$E:$E,25)</f>
        <v>943</v>
      </c>
      <c r="F22" s="2" t="s">
        <v>104</v>
      </c>
      <c r="G22" s="2" t="s">
        <v>283</v>
      </c>
      <c r="H22" s="2" t="s">
        <v>284</v>
      </c>
      <c r="I22" s="2" t="s">
        <v>285</v>
      </c>
      <c r="J22" s="2" t="s">
        <v>286</v>
      </c>
      <c r="K22" s="2" t="s">
        <v>287</v>
      </c>
      <c r="L22" s="2" t="s">
        <v>110</v>
      </c>
      <c r="M22" s="13" t="s">
        <v>111</v>
      </c>
      <c r="N22" s="2" t="s">
        <v>112</v>
      </c>
      <c r="O22" s="2" t="s">
        <v>139</v>
      </c>
      <c r="P22" s="2" t="s">
        <v>288</v>
      </c>
      <c r="Q22" s="2"/>
      <c r="R22" s="2"/>
      <c r="S22" s="2"/>
      <c r="T22" s="2"/>
      <c r="U22" s="4"/>
      <c r="V22" s="2"/>
    </row>
    <row r="23" customFormat="false" ht="68.65" hidden="false" customHeight="false" outlineLevel="0" collapsed="false">
      <c r="A23" s="2" t="s">
        <v>289</v>
      </c>
      <c r="B23" s="2" t="s">
        <v>102</v>
      </c>
      <c r="C23" s="2" t="s">
        <v>290</v>
      </c>
      <c r="D23" s="2" t="n">
        <v>7722350688</v>
      </c>
      <c r="E23" s="12" t="n">
        <f aca="false">INDEX(База!$E:$E,26)</f>
        <v>818</v>
      </c>
      <c r="F23" s="2" t="s">
        <v>104</v>
      </c>
      <c r="G23" s="2" t="s">
        <v>291</v>
      </c>
      <c r="H23" s="2" t="s">
        <v>292</v>
      </c>
      <c r="I23" s="2" t="s">
        <v>293</v>
      </c>
      <c r="J23" s="2" t="s">
        <v>294</v>
      </c>
      <c r="K23" s="2" t="s">
        <v>177</v>
      </c>
      <c r="L23" s="2" t="s">
        <v>110</v>
      </c>
      <c r="M23" s="13" t="s">
        <v>111</v>
      </c>
      <c r="N23" s="2" t="s">
        <v>112</v>
      </c>
      <c r="O23" s="2" t="s">
        <v>139</v>
      </c>
      <c r="P23" s="2" t="s">
        <v>295</v>
      </c>
      <c r="Q23" s="2"/>
      <c r="R23" s="2"/>
      <c r="S23" s="2"/>
      <c r="T23" s="2"/>
      <c r="U23" s="4"/>
      <c r="V23" s="2"/>
    </row>
    <row r="24" customFormat="false" ht="57.45" hidden="false" customHeight="false" outlineLevel="0" collapsed="false">
      <c r="A24" s="2" t="s">
        <v>296</v>
      </c>
      <c r="B24" s="2" t="s">
        <v>297</v>
      </c>
      <c r="C24" s="2" t="s">
        <v>298</v>
      </c>
      <c r="D24" s="2" t="n">
        <v>7733852150</v>
      </c>
      <c r="E24" s="12" t="n">
        <f aca="false">INDEX(База!$E:$E,27)</f>
        <v>797</v>
      </c>
      <c r="F24" s="2" t="s">
        <v>104</v>
      </c>
      <c r="G24" s="2" t="s">
        <v>299</v>
      </c>
      <c r="H24" s="2" t="s">
        <v>300</v>
      </c>
      <c r="I24" s="2" t="s">
        <v>301</v>
      </c>
      <c r="J24" s="2" t="s">
        <v>302</v>
      </c>
      <c r="K24" s="2" t="s">
        <v>121</v>
      </c>
      <c r="L24" s="2" t="s">
        <v>303</v>
      </c>
      <c r="M24" s="16" t="s">
        <v>179</v>
      </c>
      <c r="N24" s="2" t="s">
        <v>304</v>
      </c>
      <c r="O24" s="14" t="s">
        <v>305</v>
      </c>
      <c r="P24" s="2"/>
      <c r="Q24" s="15" t="s">
        <v>123</v>
      </c>
      <c r="R24" s="2"/>
      <c r="S24" s="2"/>
      <c r="T24" s="2"/>
      <c r="U24" s="4"/>
      <c r="V24" s="2"/>
    </row>
    <row r="25" customFormat="false" ht="79.85" hidden="false" customHeight="false" outlineLevel="0" collapsed="false">
      <c r="A25" s="2" t="s">
        <v>306</v>
      </c>
      <c r="B25" s="2" t="s">
        <v>142</v>
      </c>
      <c r="C25" s="2" t="s">
        <v>307</v>
      </c>
      <c r="D25" s="2" t="n">
        <v>7722321623</v>
      </c>
      <c r="E25" s="12" t="n">
        <f aca="false">INDEX(База!$E:$E,29)</f>
        <v>793</v>
      </c>
      <c r="F25" s="2" t="s">
        <v>104</v>
      </c>
      <c r="G25" s="2" t="s">
        <v>308</v>
      </c>
      <c r="H25" s="2" t="s">
        <v>309</v>
      </c>
      <c r="I25" s="2" t="s">
        <v>310</v>
      </c>
      <c r="J25" s="2" t="s">
        <v>311</v>
      </c>
      <c r="K25" s="2" t="s">
        <v>177</v>
      </c>
      <c r="L25" s="2" t="s">
        <v>312</v>
      </c>
      <c r="M25" s="16" t="s">
        <v>179</v>
      </c>
      <c r="N25" s="2" t="s">
        <v>150</v>
      </c>
      <c r="O25" s="2" t="s">
        <v>113</v>
      </c>
      <c r="P25" s="2" t="s">
        <v>313</v>
      </c>
      <c r="Q25" s="2"/>
      <c r="R25" s="2"/>
      <c r="S25" s="2"/>
      <c r="T25" s="2"/>
      <c r="U25" s="4"/>
      <c r="V25" s="2"/>
    </row>
    <row r="26" customFormat="false" ht="68.65" hidden="false" customHeight="false" outlineLevel="0" collapsed="false">
      <c r="A26" s="2" t="s">
        <v>314</v>
      </c>
      <c r="B26" s="2" t="s">
        <v>315</v>
      </c>
      <c r="C26" s="2" t="s">
        <v>316</v>
      </c>
      <c r="D26" s="2" t="n">
        <v>7724865932</v>
      </c>
      <c r="E26" s="12" t="n">
        <f aca="false">INDEX(База!$E:$E,30)</f>
        <v>771</v>
      </c>
      <c r="F26" s="2" t="s">
        <v>104</v>
      </c>
      <c r="G26" s="2" t="s">
        <v>317</v>
      </c>
      <c r="H26" s="2" t="s">
        <v>318</v>
      </c>
      <c r="I26" s="2" t="s">
        <v>319</v>
      </c>
      <c r="J26" s="2" t="s">
        <v>320</v>
      </c>
      <c r="K26" s="2" t="s">
        <v>321</v>
      </c>
      <c r="L26" s="2" t="s">
        <v>322</v>
      </c>
      <c r="M26" s="18" t="s">
        <v>278</v>
      </c>
      <c r="N26" s="2" t="s">
        <v>323</v>
      </c>
      <c r="O26" s="2" t="s">
        <v>139</v>
      </c>
      <c r="P26" s="2" t="s">
        <v>324</v>
      </c>
      <c r="Q26" s="15" t="s">
        <v>325</v>
      </c>
      <c r="R26" s="2"/>
      <c r="S26" s="2"/>
      <c r="T26" s="2"/>
      <c r="U26" s="4"/>
      <c r="V26" s="2"/>
    </row>
    <row r="27" customFormat="false" ht="57.45" hidden="false" customHeight="false" outlineLevel="0" collapsed="false">
      <c r="A27" s="2" t="s">
        <v>326</v>
      </c>
      <c r="B27" s="2" t="s">
        <v>153</v>
      </c>
      <c r="C27" s="2" t="s">
        <v>327</v>
      </c>
      <c r="D27" s="2" t="n">
        <v>6143088075</v>
      </c>
      <c r="E27" s="12" t="n">
        <f aca="false">INDEX(База!$E:$E,31)</f>
        <v>767</v>
      </c>
      <c r="F27" s="2"/>
      <c r="G27" s="2" t="s">
        <v>328</v>
      </c>
      <c r="H27" s="2" t="s">
        <v>329</v>
      </c>
      <c r="I27" s="2" t="s">
        <v>330</v>
      </c>
      <c r="J27" s="2" t="s">
        <v>331</v>
      </c>
      <c r="K27" s="2" t="s">
        <v>159</v>
      </c>
      <c r="L27" s="2" t="s">
        <v>160</v>
      </c>
      <c r="M27" s="17" t="s">
        <v>234</v>
      </c>
      <c r="N27" s="2" t="s">
        <v>332</v>
      </c>
      <c r="O27" s="2" t="s">
        <v>139</v>
      </c>
      <c r="P27" s="2" t="s">
        <v>333</v>
      </c>
      <c r="Q27" s="2"/>
      <c r="R27" s="2"/>
      <c r="S27" s="2"/>
      <c r="T27" s="2"/>
      <c r="U27" s="4"/>
      <c r="V27" s="2"/>
    </row>
    <row r="28" customFormat="false" ht="68.65" hidden="false" customHeight="false" outlineLevel="0" collapsed="false">
      <c r="A28" s="2" t="s">
        <v>334</v>
      </c>
      <c r="B28" s="2" t="s">
        <v>153</v>
      </c>
      <c r="C28" s="2" t="s">
        <v>335</v>
      </c>
      <c r="D28" s="2" t="n">
        <v>7707661897</v>
      </c>
      <c r="E28" s="12" t="n">
        <f aca="false">INDEX(База!$E:$E,32)</f>
        <v>719</v>
      </c>
      <c r="F28" s="2" t="s">
        <v>104</v>
      </c>
      <c r="G28" s="2" t="s">
        <v>336</v>
      </c>
      <c r="H28" s="2" t="s">
        <v>337</v>
      </c>
      <c r="I28" s="2" t="s">
        <v>338</v>
      </c>
      <c r="J28" s="2" t="s">
        <v>339</v>
      </c>
      <c r="K28" s="2" t="s">
        <v>159</v>
      </c>
      <c r="L28" s="2" t="s">
        <v>160</v>
      </c>
      <c r="M28" s="17" t="s">
        <v>234</v>
      </c>
      <c r="N28" s="2" t="s">
        <v>161</v>
      </c>
      <c r="O28" s="2" t="s">
        <v>139</v>
      </c>
      <c r="P28" s="2" t="s">
        <v>340</v>
      </c>
      <c r="Q28" s="2"/>
      <c r="R28" s="2"/>
      <c r="S28" s="2"/>
      <c r="T28" s="2"/>
      <c r="U28" s="4"/>
      <c r="V28" s="2"/>
    </row>
    <row r="29" customFormat="false" ht="79.85" hidden="false" customHeight="false" outlineLevel="0" collapsed="false">
      <c r="A29" s="2" t="s">
        <v>341</v>
      </c>
      <c r="B29" s="2" t="s">
        <v>270</v>
      </c>
      <c r="C29" s="2" t="s">
        <v>342</v>
      </c>
      <c r="D29" s="2" t="n">
        <v>7730700872</v>
      </c>
      <c r="E29" s="12" t="n">
        <f aca="false">INDEX(База!$E:$E,33)</f>
        <v>709</v>
      </c>
      <c r="F29" s="2" t="s">
        <v>104</v>
      </c>
      <c r="G29" s="2" t="s">
        <v>343</v>
      </c>
      <c r="H29" s="2" t="s">
        <v>344</v>
      </c>
      <c r="I29" s="2" t="s">
        <v>345</v>
      </c>
      <c r="J29" s="2" t="s">
        <v>346</v>
      </c>
      <c r="K29" s="2" t="s">
        <v>347</v>
      </c>
      <c r="L29" s="2" t="s">
        <v>348</v>
      </c>
      <c r="M29" s="17" t="s">
        <v>234</v>
      </c>
      <c r="N29" s="2" t="s">
        <v>349</v>
      </c>
      <c r="O29" s="2" t="s">
        <v>139</v>
      </c>
      <c r="P29" s="2" t="s">
        <v>350</v>
      </c>
      <c r="Q29" s="15" t="s">
        <v>237</v>
      </c>
      <c r="R29" s="2"/>
      <c r="S29" s="2"/>
      <c r="T29" s="2"/>
      <c r="U29" s="4"/>
      <c r="V29" s="2"/>
    </row>
    <row r="30" customFormat="false" ht="68.65" hidden="false" customHeight="false" outlineLevel="0" collapsed="false">
      <c r="A30" s="2" t="s">
        <v>351</v>
      </c>
      <c r="B30" s="2" t="s">
        <v>315</v>
      </c>
      <c r="C30" s="2" t="s">
        <v>352</v>
      </c>
      <c r="D30" s="2" t="n">
        <v>7723917306</v>
      </c>
      <c r="E30" s="12" t="n">
        <f aca="false">INDEX(База!$E:$E,34)</f>
        <v>703</v>
      </c>
      <c r="F30" s="2" t="s">
        <v>104</v>
      </c>
      <c r="G30" s="2" t="s">
        <v>353</v>
      </c>
      <c r="H30" s="2" t="s">
        <v>354</v>
      </c>
      <c r="I30" s="2" t="s">
        <v>355</v>
      </c>
      <c r="J30" s="2" t="s">
        <v>356</v>
      </c>
      <c r="K30" s="2" t="s">
        <v>357</v>
      </c>
      <c r="L30" s="2" t="s">
        <v>358</v>
      </c>
      <c r="M30" s="18" t="s">
        <v>278</v>
      </c>
      <c r="N30" s="2" t="s">
        <v>323</v>
      </c>
      <c r="O30" s="2" t="s">
        <v>113</v>
      </c>
      <c r="P30" s="2" t="s">
        <v>359</v>
      </c>
      <c r="Q30" s="2"/>
      <c r="R30" s="2"/>
      <c r="S30" s="2"/>
      <c r="T30" s="2"/>
      <c r="U30" s="4"/>
      <c r="V30" s="2"/>
    </row>
    <row r="31" customFormat="false" ht="79.85" hidden="false" customHeight="false" outlineLevel="0" collapsed="false">
      <c r="A31" s="2" t="s">
        <v>360</v>
      </c>
      <c r="B31" s="2" t="s">
        <v>153</v>
      </c>
      <c r="C31" s="2" t="s">
        <v>361</v>
      </c>
      <c r="D31" s="2" t="n">
        <v>7717103901</v>
      </c>
      <c r="E31" s="12" t="n">
        <f aca="false">INDEX(База!$E:$E,35)</f>
        <v>696</v>
      </c>
      <c r="F31" s="2" t="s">
        <v>104</v>
      </c>
      <c r="G31" s="2" t="s">
        <v>362</v>
      </c>
      <c r="H31" s="2" t="s">
        <v>363</v>
      </c>
      <c r="I31" s="2" t="s">
        <v>364</v>
      </c>
      <c r="J31" s="2" t="s">
        <v>365</v>
      </c>
      <c r="K31" s="2" t="s">
        <v>366</v>
      </c>
      <c r="L31" s="2" t="s">
        <v>367</v>
      </c>
      <c r="M31" s="18" t="s">
        <v>278</v>
      </c>
      <c r="N31" s="2" t="s">
        <v>368</v>
      </c>
      <c r="O31" s="2" t="s">
        <v>113</v>
      </c>
      <c r="P31" s="2" t="s">
        <v>369</v>
      </c>
      <c r="Q31" s="2"/>
      <c r="R31" s="2"/>
      <c r="S31" s="2"/>
      <c r="T31" s="2"/>
      <c r="U31" s="4"/>
      <c r="V31" s="2"/>
    </row>
    <row r="32" customFormat="false" ht="46.25" hidden="false" customHeight="false" outlineLevel="0" collapsed="false">
      <c r="A32" s="2" t="s">
        <v>370</v>
      </c>
      <c r="B32" s="2" t="s">
        <v>371</v>
      </c>
      <c r="C32" s="2" t="s">
        <v>372</v>
      </c>
      <c r="D32" s="2" t="n">
        <v>7701704424</v>
      </c>
      <c r="E32" s="12" t="n">
        <f aca="false">INDEX(База!$E:$E,36)</f>
        <v>678</v>
      </c>
      <c r="F32" s="2" t="s">
        <v>104</v>
      </c>
      <c r="G32" s="2" t="s">
        <v>373</v>
      </c>
      <c r="H32" s="2" t="s">
        <v>374</v>
      </c>
      <c r="I32" s="2" t="s">
        <v>375</v>
      </c>
      <c r="J32" s="2" t="s">
        <v>376</v>
      </c>
      <c r="K32" s="2" t="s">
        <v>121</v>
      </c>
      <c r="L32" s="2" t="s">
        <v>377</v>
      </c>
      <c r="M32" s="13" t="s">
        <v>111</v>
      </c>
      <c r="N32" s="2" t="s">
        <v>378</v>
      </c>
      <c r="O32" s="14" t="s">
        <v>379</v>
      </c>
      <c r="P32" s="2"/>
      <c r="Q32" s="15" t="s">
        <v>123</v>
      </c>
      <c r="R32" s="2"/>
      <c r="S32" s="2"/>
      <c r="T32" s="2"/>
      <c r="U32" s="4"/>
      <c r="V32" s="2"/>
    </row>
    <row r="33" customFormat="false" ht="57.45" hidden="false" customHeight="false" outlineLevel="0" collapsed="false">
      <c r="A33" s="2" t="s">
        <v>380</v>
      </c>
      <c r="B33" s="2" t="s">
        <v>153</v>
      </c>
      <c r="C33" s="2" t="s">
        <v>381</v>
      </c>
      <c r="D33" s="2" t="n">
        <v>7710892703</v>
      </c>
      <c r="E33" s="12" t="n">
        <f aca="false">INDEX(База!$E:$E,37)</f>
        <v>656</v>
      </c>
      <c r="F33" s="2" t="s">
        <v>104</v>
      </c>
      <c r="G33" s="2" t="s">
        <v>382</v>
      </c>
      <c r="H33" s="2" t="s">
        <v>383</v>
      </c>
      <c r="I33" s="2" t="s">
        <v>384</v>
      </c>
      <c r="J33" s="2" t="s">
        <v>385</v>
      </c>
      <c r="K33" s="2" t="s">
        <v>159</v>
      </c>
      <c r="L33" s="2" t="s">
        <v>160</v>
      </c>
      <c r="M33" s="17" t="s">
        <v>234</v>
      </c>
      <c r="N33" s="2" t="s">
        <v>161</v>
      </c>
      <c r="O33" s="2" t="s">
        <v>113</v>
      </c>
      <c r="P33" s="2" t="s">
        <v>386</v>
      </c>
      <c r="Q33" s="2"/>
      <c r="R33" s="2"/>
      <c r="S33" s="2"/>
      <c r="T33" s="2"/>
      <c r="U33" s="4"/>
      <c r="V33" s="2"/>
    </row>
    <row r="34" customFormat="false" ht="57.45" hidden="false" customHeight="false" outlineLevel="0" collapsed="false">
      <c r="A34" s="2" t="s">
        <v>387</v>
      </c>
      <c r="B34" s="2" t="s">
        <v>102</v>
      </c>
      <c r="C34" s="2" t="s">
        <v>388</v>
      </c>
      <c r="D34" s="2" t="n">
        <v>7724418010</v>
      </c>
      <c r="E34" s="12" t="n">
        <f aca="false">INDEX(База!$E:$E,38)</f>
        <v>651</v>
      </c>
      <c r="F34" s="2" t="s">
        <v>104</v>
      </c>
      <c r="G34" s="2" t="s">
        <v>389</v>
      </c>
      <c r="H34" s="2" t="s">
        <v>390</v>
      </c>
      <c r="I34" s="2" t="s">
        <v>242</v>
      </c>
      <c r="J34" s="2" t="s">
        <v>311</v>
      </c>
      <c r="K34" s="2" t="s">
        <v>177</v>
      </c>
      <c r="L34" s="2" t="s">
        <v>110</v>
      </c>
      <c r="M34" s="13" t="s">
        <v>111</v>
      </c>
      <c r="N34" s="2" t="s">
        <v>112</v>
      </c>
      <c r="O34" s="2" t="s">
        <v>139</v>
      </c>
      <c r="P34" s="2" t="s">
        <v>391</v>
      </c>
      <c r="Q34" s="2"/>
      <c r="R34" s="2"/>
      <c r="S34" s="2"/>
      <c r="T34" s="2"/>
      <c r="U34" s="4"/>
      <c r="V34" s="2"/>
    </row>
    <row r="35" customFormat="false" ht="68.65" hidden="false" customHeight="false" outlineLevel="0" collapsed="false">
      <c r="A35" s="2" t="s">
        <v>392</v>
      </c>
      <c r="B35" s="2" t="s">
        <v>226</v>
      </c>
      <c r="C35" s="2" t="s">
        <v>393</v>
      </c>
      <c r="D35" s="2" t="n">
        <v>7724413781</v>
      </c>
      <c r="E35" s="12" t="n">
        <f aca="false">INDEX(База!$E:$E,39)</f>
        <v>645</v>
      </c>
      <c r="F35" s="2" t="s">
        <v>104</v>
      </c>
      <c r="G35" s="2" t="s">
        <v>394</v>
      </c>
      <c r="H35" s="2" t="s">
        <v>395</v>
      </c>
      <c r="I35" s="2" t="s">
        <v>396</v>
      </c>
      <c r="J35" s="2" t="s">
        <v>397</v>
      </c>
      <c r="K35" s="2" t="s">
        <v>398</v>
      </c>
      <c r="L35" s="2" t="s">
        <v>399</v>
      </c>
      <c r="M35" s="13" t="s">
        <v>111</v>
      </c>
      <c r="N35" s="2" t="s">
        <v>400</v>
      </c>
      <c r="O35" s="2" t="s">
        <v>139</v>
      </c>
      <c r="P35" s="2" t="s">
        <v>401</v>
      </c>
      <c r="Q35" s="2"/>
      <c r="R35" s="2"/>
      <c r="S35" s="2"/>
      <c r="T35" s="2"/>
      <c r="U35" s="4"/>
      <c r="V35" s="2"/>
    </row>
    <row r="36" customFormat="false" ht="79.85" hidden="false" customHeight="false" outlineLevel="0" collapsed="false">
      <c r="A36" s="2" t="s">
        <v>402</v>
      </c>
      <c r="B36" s="2" t="s">
        <v>102</v>
      </c>
      <c r="C36" s="2" t="s">
        <v>403</v>
      </c>
      <c r="D36" s="2" t="n">
        <v>7728897484</v>
      </c>
      <c r="E36" s="12" t="n">
        <f aca="false">INDEX(База!$E:$E,40)</f>
        <v>620</v>
      </c>
      <c r="F36" s="2" t="s">
        <v>104</v>
      </c>
      <c r="G36" s="2" t="s">
        <v>404</v>
      </c>
      <c r="H36" s="2" t="s">
        <v>405</v>
      </c>
      <c r="I36" s="2" t="s">
        <v>406</v>
      </c>
      <c r="J36" s="2" t="s">
        <v>407</v>
      </c>
      <c r="K36" s="2" t="s">
        <v>408</v>
      </c>
      <c r="L36" s="2" t="s">
        <v>303</v>
      </c>
      <c r="M36" s="16" t="s">
        <v>179</v>
      </c>
      <c r="N36" s="2" t="s">
        <v>304</v>
      </c>
      <c r="O36" s="2" t="s">
        <v>113</v>
      </c>
      <c r="P36" s="2" t="s">
        <v>409</v>
      </c>
      <c r="Q36" s="2"/>
      <c r="R36" s="2"/>
      <c r="S36" s="2"/>
      <c r="T36" s="2"/>
      <c r="U36" s="4"/>
      <c r="V36" s="2"/>
    </row>
    <row r="37" customFormat="false" ht="46.25" hidden="false" customHeight="false" outlineLevel="0" collapsed="false">
      <c r="A37" s="2" t="s">
        <v>410</v>
      </c>
      <c r="B37" s="2" t="s">
        <v>153</v>
      </c>
      <c r="C37" s="2" t="s">
        <v>411</v>
      </c>
      <c r="D37" s="2" t="n">
        <v>7720715213</v>
      </c>
      <c r="E37" s="12" t="n">
        <f aca="false">INDEX(База!$E:$E,41)</f>
        <v>618</v>
      </c>
      <c r="F37" s="2" t="s">
        <v>104</v>
      </c>
      <c r="G37" s="2" t="s">
        <v>412</v>
      </c>
      <c r="H37" s="2" t="s">
        <v>413</v>
      </c>
      <c r="I37" s="2" t="s">
        <v>384</v>
      </c>
      <c r="J37" s="2" t="s">
        <v>414</v>
      </c>
      <c r="K37" s="2" t="s">
        <v>159</v>
      </c>
      <c r="L37" s="2" t="s">
        <v>160</v>
      </c>
      <c r="M37" s="17" t="s">
        <v>234</v>
      </c>
      <c r="N37" s="2" t="s">
        <v>161</v>
      </c>
      <c r="O37" s="2" t="s">
        <v>139</v>
      </c>
      <c r="P37" s="2" t="s">
        <v>415</v>
      </c>
      <c r="Q37" s="2"/>
      <c r="R37" s="2"/>
      <c r="S37" s="2"/>
      <c r="T37" s="2"/>
      <c r="U37" s="4"/>
      <c r="V37" s="2"/>
    </row>
    <row r="38" customFormat="false" ht="79.85" hidden="false" customHeight="false" outlineLevel="0" collapsed="false">
      <c r="A38" s="2" t="s">
        <v>416</v>
      </c>
      <c r="B38" s="2" t="s">
        <v>142</v>
      </c>
      <c r="C38" s="2" t="s">
        <v>417</v>
      </c>
      <c r="D38" s="2" t="n">
        <v>7729443187</v>
      </c>
      <c r="E38" s="12" t="n">
        <f aca="false">INDEX(База!$E:$E,42)</f>
        <v>604</v>
      </c>
      <c r="F38" s="2" t="s">
        <v>104</v>
      </c>
      <c r="G38" s="2" t="s">
        <v>418</v>
      </c>
      <c r="H38" s="2" t="s">
        <v>419</v>
      </c>
      <c r="I38" s="2" t="s">
        <v>420</v>
      </c>
      <c r="J38" s="2" t="s">
        <v>421</v>
      </c>
      <c r="K38" s="2" t="s">
        <v>422</v>
      </c>
      <c r="L38" s="2" t="s">
        <v>149</v>
      </c>
      <c r="M38" s="16" t="s">
        <v>179</v>
      </c>
      <c r="N38" s="2" t="s">
        <v>150</v>
      </c>
      <c r="O38" s="2" t="s">
        <v>113</v>
      </c>
      <c r="P38" s="2" t="s">
        <v>423</v>
      </c>
      <c r="Q38" s="2"/>
      <c r="R38" s="2"/>
      <c r="S38" s="2"/>
      <c r="T38" s="2"/>
      <c r="U38" s="4"/>
      <c r="V38" s="2"/>
    </row>
    <row r="39" customFormat="false" ht="68.65" hidden="false" customHeight="false" outlineLevel="0" collapsed="false">
      <c r="A39" s="2" t="s">
        <v>424</v>
      </c>
      <c r="B39" s="2" t="s">
        <v>315</v>
      </c>
      <c r="C39" s="2" t="s">
        <v>425</v>
      </c>
      <c r="D39" s="2" t="n">
        <v>4205176605</v>
      </c>
      <c r="E39" s="12" t="n">
        <f aca="false">INDEX(База!$E:$E,45)</f>
        <v>580</v>
      </c>
      <c r="F39" s="2"/>
      <c r="G39" s="2" t="s">
        <v>426</v>
      </c>
      <c r="H39" s="2" t="s">
        <v>427</v>
      </c>
      <c r="I39" s="2" t="s">
        <v>428</v>
      </c>
      <c r="J39" s="2" t="s">
        <v>429</v>
      </c>
      <c r="K39" s="2" t="s">
        <v>430</v>
      </c>
      <c r="L39" s="2" t="s">
        <v>358</v>
      </c>
      <c r="M39" s="18" t="s">
        <v>278</v>
      </c>
      <c r="N39" s="2" t="s">
        <v>323</v>
      </c>
      <c r="O39" s="2" t="s">
        <v>113</v>
      </c>
      <c r="P39" s="2" t="s">
        <v>431</v>
      </c>
      <c r="Q39" s="15" t="s">
        <v>237</v>
      </c>
      <c r="R39" s="2"/>
      <c r="S39" s="2"/>
      <c r="T39" s="2"/>
      <c r="U39" s="4"/>
      <c r="V39" s="2"/>
    </row>
    <row r="40" customFormat="false" ht="68.65" hidden="false" customHeight="false" outlineLevel="0" collapsed="false">
      <c r="A40" s="2" t="s">
        <v>432</v>
      </c>
      <c r="B40" s="2" t="s">
        <v>315</v>
      </c>
      <c r="C40" s="2" t="s">
        <v>433</v>
      </c>
      <c r="D40" s="2" t="n">
        <v>6658436206</v>
      </c>
      <c r="E40" s="12" t="n">
        <f aca="false">INDEX(База!$E:$E,46)</f>
        <v>545</v>
      </c>
      <c r="F40" s="2" t="s">
        <v>434</v>
      </c>
      <c r="G40" s="2" t="s">
        <v>435</v>
      </c>
      <c r="H40" s="2" t="s">
        <v>436</v>
      </c>
      <c r="I40" s="2" t="s">
        <v>437</v>
      </c>
      <c r="J40" s="2" t="s">
        <v>438</v>
      </c>
      <c r="K40" s="2" t="s">
        <v>439</v>
      </c>
      <c r="L40" s="2" t="s">
        <v>358</v>
      </c>
      <c r="M40" s="18" t="s">
        <v>278</v>
      </c>
      <c r="N40" s="2" t="s">
        <v>323</v>
      </c>
      <c r="O40" s="2" t="s">
        <v>113</v>
      </c>
      <c r="P40" s="2" t="s">
        <v>440</v>
      </c>
      <c r="Q40" s="15" t="s">
        <v>237</v>
      </c>
      <c r="R40" s="2"/>
      <c r="S40" s="2"/>
      <c r="T40" s="2"/>
      <c r="U40" s="4"/>
      <c r="V40" s="2"/>
    </row>
    <row r="41" customFormat="false" ht="68.65" hidden="false" customHeight="false" outlineLevel="0" collapsed="false">
      <c r="A41" s="2" t="s">
        <v>441</v>
      </c>
      <c r="B41" s="2" t="s">
        <v>102</v>
      </c>
      <c r="C41" s="2" t="s">
        <v>442</v>
      </c>
      <c r="D41" s="2" t="n">
        <v>7726627740</v>
      </c>
      <c r="E41" s="12" t="n">
        <f aca="false">INDEX(База!$E:$E,47)</f>
        <v>544</v>
      </c>
      <c r="F41" s="2" t="s">
        <v>104</v>
      </c>
      <c r="G41" s="2" t="s">
        <v>443</v>
      </c>
      <c r="H41" s="2" t="s">
        <v>444</v>
      </c>
      <c r="I41" s="2" t="s">
        <v>445</v>
      </c>
      <c r="J41" s="2" t="s">
        <v>446</v>
      </c>
      <c r="K41" s="2" t="s">
        <v>447</v>
      </c>
      <c r="L41" s="2" t="s">
        <v>110</v>
      </c>
      <c r="M41" s="13" t="s">
        <v>111</v>
      </c>
      <c r="N41" s="2" t="s">
        <v>112</v>
      </c>
      <c r="O41" s="2" t="s">
        <v>113</v>
      </c>
      <c r="P41" s="2" t="s">
        <v>448</v>
      </c>
      <c r="Q41" s="2"/>
      <c r="R41" s="2"/>
      <c r="S41" s="2"/>
      <c r="T41" s="2"/>
      <c r="U41" s="4"/>
      <c r="V41" s="2"/>
    </row>
    <row r="42" customFormat="false" ht="68.65" hidden="false" customHeight="false" outlineLevel="0" collapsed="false">
      <c r="A42" s="2" t="s">
        <v>449</v>
      </c>
      <c r="B42" s="2" t="s">
        <v>226</v>
      </c>
      <c r="C42" s="2" t="s">
        <v>450</v>
      </c>
      <c r="D42" s="2" t="n">
        <v>2312200249</v>
      </c>
      <c r="E42" s="12" t="n">
        <f aca="false">INDEX(База!$E:$E,48)</f>
        <v>535</v>
      </c>
      <c r="F42" s="2"/>
      <c r="G42" s="2" t="s">
        <v>451</v>
      </c>
      <c r="H42" s="2" t="s">
        <v>452</v>
      </c>
      <c r="I42" s="2" t="s">
        <v>453</v>
      </c>
      <c r="J42" s="2" t="s">
        <v>454</v>
      </c>
      <c r="K42" s="2" t="s">
        <v>455</v>
      </c>
      <c r="L42" s="2" t="s">
        <v>233</v>
      </c>
      <c r="M42" s="13" t="s">
        <v>111</v>
      </c>
      <c r="N42" s="2" t="s">
        <v>400</v>
      </c>
      <c r="O42" s="2" t="s">
        <v>113</v>
      </c>
      <c r="P42" s="2" t="s">
        <v>456</v>
      </c>
      <c r="Q42" s="2"/>
      <c r="R42" s="2"/>
      <c r="S42" s="2"/>
      <c r="T42" s="2"/>
      <c r="U42" s="4"/>
      <c r="V42" s="2"/>
    </row>
    <row r="43" customFormat="false" ht="79.85" hidden="false" customHeight="false" outlineLevel="0" collapsed="false">
      <c r="A43" s="2" t="s">
        <v>457</v>
      </c>
      <c r="B43" s="2" t="s">
        <v>458</v>
      </c>
      <c r="C43" s="2" t="s">
        <v>459</v>
      </c>
      <c r="D43" s="2" t="n">
        <v>7726527350</v>
      </c>
      <c r="E43" s="12" t="n">
        <f aca="false">INDEX(База!$E:$E,50)</f>
        <v>517</v>
      </c>
      <c r="F43" s="2" t="s">
        <v>104</v>
      </c>
      <c r="G43" s="2" t="s">
        <v>460</v>
      </c>
      <c r="H43" s="2" t="s">
        <v>461</v>
      </c>
      <c r="I43" s="2" t="s">
        <v>462</v>
      </c>
      <c r="J43" s="2" t="s">
        <v>463</v>
      </c>
      <c r="K43" s="2" t="s">
        <v>464</v>
      </c>
      <c r="L43" s="2" t="s">
        <v>465</v>
      </c>
      <c r="M43" s="16" t="s">
        <v>179</v>
      </c>
      <c r="N43" s="2" t="s">
        <v>466</v>
      </c>
      <c r="O43" s="2" t="s">
        <v>113</v>
      </c>
      <c r="P43" s="2" t="s">
        <v>467</v>
      </c>
      <c r="Q43" s="15" t="s">
        <v>468</v>
      </c>
      <c r="R43" s="2"/>
      <c r="S43" s="2"/>
      <c r="T43" s="2"/>
      <c r="U43" s="4"/>
      <c r="V43" s="2"/>
    </row>
    <row r="44" customFormat="false" ht="68.65" hidden="false" customHeight="false" outlineLevel="0" collapsed="false">
      <c r="A44" s="2" t="s">
        <v>469</v>
      </c>
      <c r="B44" s="2" t="s">
        <v>458</v>
      </c>
      <c r="C44" s="2" t="s">
        <v>470</v>
      </c>
      <c r="D44" s="2" t="n">
        <v>5027237616</v>
      </c>
      <c r="E44" s="12" t="n">
        <f aca="false">INDEX(База!$E:$E,51)</f>
        <v>510</v>
      </c>
      <c r="F44" s="2" t="s">
        <v>471</v>
      </c>
      <c r="G44" s="2" t="s">
        <v>472</v>
      </c>
      <c r="H44" s="2" t="s">
        <v>465</v>
      </c>
      <c r="I44" s="2" t="s">
        <v>465</v>
      </c>
      <c r="J44" s="2" t="s">
        <v>473</v>
      </c>
      <c r="K44" s="2" t="s">
        <v>121</v>
      </c>
      <c r="L44" s="2" t="s">
        <v>465</v>
      </c>
      <c r="M44" s="16" t="s">
        <v>179</v>
      </c>
      <c r="N44" s="2" t="s">
        <v>466</v>
      </c>
      <c r="O44" s="14" t="s">
        <v>474</v>
      </c>
      <c r="P44" s="2"/>
      <c r="Q44" s="15" t="s">
        <v>475</v>
      </c>
      <c r="R44" s="2"/>
      <c r="S44" s="2"/>
      <c r="T44" s="2"/>
      <c r="U44" s="4"/>
      <c r="V44" s="2"/>
    </row>
    <row r="45" customFormat="false" ht="79.85" hidden="false" customHeight="false" outlineLevel="0" collapsed="false">
      <c r="A45" s="2" t="s">
        <v>476</v>
      </c>
      <c r="B45" s="2" t="s">
        <v>226</v>
      </c>
      <c r="C45" s="2" t="s">
        <v>477</v>
      </c>
      <c r="D45" s="2" t="n">
        <v>7743714689</v>
      </c>
      <c r="E45" s="12" t="n">
        <f aca="false">INDEX(База!$E:$E,52)</f>
        <v>506</v>
      </c>
      <c r="F45" s="2" t="s">
        <v>104</v>
      </c>
      <c r="G45" s="2" t="s">
        <v>478</v>
      </c>
      <c r="H45" s="2" t="s">
        <v>479</v>
      </c>
      <c r="I45" s="2" t="s">
        <v>480</v>
      </c>
      <c r="J45" s="2" t="s">
        <v>481</v>
      </c>
      <c r="K45" s="2" t="s">
        <v>482</v>
      </c>
      <c r="L45" s="2" t="s">
        <v>303</v>
      </c>
      <c r="M45" s="16" t="s">
        <v>179</v>
      </c>
      <c r="N45" s="2" t="s">
        <v>400</v>
      </c>
      <c r="O45" s="2" t="s">
        <v>113</v>
      </c>
      <c r="P45" s="2" t="s">
        <v>483</v>
      </c>
      <c r="Q45" s="2"/>
      <c r="R45" s="2"/>
      <c r="S45" s="2"/>
      <c r="T45" s="2"/>
      <c r="U45" s="4"/>
      <c r="V45" s="2"/>
    </row>
    <row r="46" customFormat="false" ht="68.65" hidden="false" customHeight="false" outlineLevel="0" collapsed="false">
      <c r="A46" s="2" t="s">
        <v>484</v>
      </c>
      <c r="B46" s="2" t="s">
        <v>102</v>
      </c>
      <c r="C46" s="2" t="s">
        <v>485</v>
      </c>
      <c r="D46" s="2" t="n">
        <v>9705008196</v>
      </c>
      <c r="E46" s="12" t="n">
        <f aca="false">INDEX(База!$E:$E,53)</f>
        <v>491</v>
      </c>
      <c r="F46" s="2" t="s">
        <v>104</v>
      </c>
      <c r="G46" s="2" t="s">
        <v>486</v>
      </c>
      <c r="H46" s="2" t="s">
        <v>487</v>
      </c>
      <c r="I46" s="2" t="s">
        <v>242</v>
      </c>
      <c r="J46" s="2" t="s">
        <v>311</v>
      </c>
      <c r="K46" s="2" t="s">
        <v>177</v>
      </c>
      <c r="L46" s="2" t="s">
        <v>110</v>
      </c>
      <c r="M46" s="13" t="s">
        <v>111</v>
      </c>
      <c r="N46" s="2" t="s">
        <v>112</v>
      </c>
      <c r="O46" s="2" t="s">
        <v>139</v>
      </c>
      <c r="P46" s="2" t="s">
        <v>488</v>
      </c>
      <c r="Q46" s="2"/>
      <c r="R46" s="2"/>
      <c r="S46" s="2"/>
      <c r="T46" s="2"/>
      <c r="U46" s="4"/>
      <c r="V46" s="2"/>
    </row>
    <row r="47" customFormat="false" ht="79.85" hidden="false" customHeight="false" outlineLevel="0" collapsed="false">
      <c r="A47" s="2" t="s">
        <v>489</v>
      </c>
      <c r="B47" s="2" t="s">
        <v>142</v>
      </c>
      <c r="C47" s="2" t="s">
        <v>490</v>
      </c>
      <c r="D47" s="2" t="n">
        <v>9722034090</v>
      </c>
      <c r="E47" s="12" t="n">
        <f aca="false">INDEX(База!$E:$E,54)</f>
        <v>481</v>
      </c>
      <c r="F47" s="2" t="s">
        <v>104</v>
      </c>
      <c r="G47" s="2" t="s">
        <v>491</v>
      </c>
      <c r="H47" s="2" t="s">
        <v>492</v>
      </c>
      <c r="I47" s="2" t="s">
        <v>493</v>
      </c>
      <c r="J47" s="2" t="s">
        <v>494</v>
      </c>
      <c r="K47" s="2" t="s">
        <v>177</v>
      </c>
      <c r="L47" s="2" t="s">
        <v>303</v>
      </c>
      <c r="M47" s="16" t="s">
        <v>179</v>
      </c>
      <c r="N47" s="2" t="s">
        <v>150</v>
      </c>
      <c r="O47" s="2" t="s">
        <v>113</v>
      </c>
      <c r="P47" s="2" t="s">
        <v>495</v>
      </c>
      <c r="Q47" s="2"/>
      <c r="R47" s="2"/>
      <c r="S47" s="2"/>
      <c r="T47" s="2"/>
      <c r="U47" s="4"/>
      <c r="V47" s="2"/>
    </row>
    <row r="48" customFormat="false" ht="46.25" hidden="false" customHeight="false" outlineLevel="0" collapsed="false">
      <c r="A48" s="2" t="s">
        <v>496</v>
      </c>
      <c r="B48" s="2" t="s">
        <v>142</v>
      </c>
      <c r="C48" s="2" t="s">
        <v>497</v>
      </c>
      <c r="D48" s="2" t="n">
        <v>7813210938</v>
      </c>
      <c r="E48" s="12" t="n">
        <f aca="false">INDEX(База!$E:$E,55)</f>
        <v>442</v>
      </c>
      <c r="F48" s="2" t="s">
        <v>183</v>
      </c>
      <c r="G48" s="2" t="s">
        <v>498</v>
      </c>
      <c r="H48" s="2" t="s">
        <v>499</v>
      </c>
      <c r="I48" s="2" t="s">
        <v>500</v>
      </c>
      <c r="J48" s="2" t="s">
        <v>501</v>
      </c>
      <c r="K48" s="2" t="s">
        <v>121</v>
      </c>
      <c r="L48" s="2" t="s">
        <v>149</v>
      </c>
      <c r="M48" s="16" t="s">
        <v>179</v>
      </c>
      <c r="N48" s="2" t="s">
        <v>150</v>
      </c>
      <c r="O48" s="14" t="s">
        <v>502</v>
      </c>
      <c r="P48" s="2"/>
      <c r="Q48" s="15" t="s">
        <v>123</v>
      </c>
      <c r="R48" s="2"/>
      <c r="S48" s="2"/>
      <c r="T48" s="2"/>
      <c r="U48" s="4"/>
      <c r="V48" s="2"/>
    </row>
    <row r="49" customFormat="false" ht="57.45" hidden="false" customHeight="false" outlineLevel="0" collapsed="false">
      <c r="A49" s="2" t="s">
        <v>503</v>
      </c>
      <c r="B49" s="2" t="s">
        <v>153</v>
      </c>
      <c r="C49" s="2" t="s">
        <v>504</v>
      </c>
      <c r="D49" s="2" t="n">
        <v>7720700150</v>
      </c>
      <c r="E49" s="12" t="n">
        <f aca="false">INDEX(База!$E:$E,56)</f>
        <v>389</v>
      </c>
      <c r="F49" s="2" t="s">
        <v>104</v>
      </c>
      <c r="G49" s="2" t="s">
        <v>505</v>
      </c>
      <c r="H49" s="2" t="s">
        <v>506</v>
      </c>
      <c r="I49" s="2" t="s">
        <v>507</v>
      </c>
      <c r="J49" s="2" t="s">
        <v>508</v>
      </c>
      <c r="K49" s="2" t="s">
        <v>509</v>
      </c>
      <c r="L49" s="2" t="s">
        <v>160</v>
      </c>
      <c r="M49" s="17" t="s">
        <v>234</v>
      </c>
      <c r="N49" s="2" t="s">
        <v>161</v>
      </c>
      <c r="O49" s="2" t="s">
        <v>113</v>
      </c>
      <c r="P49" s="2" t="s">
        <v>510</v>
      </c>
      <c r="Q49" s="15" t="s">
        <v>237</v>
      </c>
      <c r="R49" s="2"/>
      <c r="S49" s="2"/>
      <c r="T49" s="2"/>
      <c r="U49" s="4"/>
      <c r="V49" s="2"/>
    </row>
    <row r="50" customFormat="false" ht="68.65" hidden="false" customHeight="false" outlineLevel="0" collapsed="false">
      <c r="A50" s="2" t="s">
        <v>511</v>
      </c>
      <c r="B50" s="2" t="s">
        <v>270</v>
      </c>
      <c r="C50" s="2" t="s">
        <v>512</v>
      </c>
      <c r="D50" s="2" t="n">
        <v>7722244432</v>
      </c>
      <c r="E50" s="12" t="n">
        <f aca="false">INDEX(База!$E:$E,57)</f>
        <v>369</v>
      </c>
      <c r="F50" s="2" t="s">
        <v>104</v>
      </c>
      <c r="G50" s="2" t="s">
        <v>513</v>
      </c>
      <c r="H50" s="2" t="s">
        <v>514</v>
      </c>
      <c r="I50" s="2" t="s">
        <v>515</v>
      </c>
      <c r="J50" s="2" t="s">
        <v>516</v>
      </c>
      <c r="K50" s="2" t="s">
        <v>517</v>
      </c>
      <c r="L50" s="2" t="s">
        <v>518</v>
      </c>
      <c r="M50" s="13" t="s">
        <v>111</v>
      </c>
      <c r="N50" s="2" t="s">
        <v>519</v>
      </c>
      <c r="O50" s="2" t="s">
        <v>113</v>
      </c>
      <c r="P50" s="2" t="s">
        <v>520</v>
      </c>
      <c r="Q50" s="15" t="s">
        <v>521</v>
      </c>
      <c r="R50" s="2"/>
      <c r="S50" s="2"/>
      <c r="T50" s="2"/>
      <c r="U50" s="4"/>
      <c r="V50" s="2"/>
    </row>
    <row r="51" customFormat="false" ht="57.45" hidden="false" customHeight="false" outlineLevel="0" collapsed="false">
      <c r="A51" s="2" t="s">
        <v>522</v>
      </c>
      <c r="B51" s="2" t="s">
        <v>102</v>
      </c>
      <c r="C51" s="2" t="s">
        <v>523</v>
      </c>
      <c r="D51" s="2" t="n">
        <v>7730181560</v>
      </c>
      <c r="E51" s="12" t="n">
        <f aca="false">INDEX(База!$E:$E,58)</f>
        <v>367</v>
      </c>
      <c r="F51" s="2" t="s">
        <v>104</v>
      </c>
      <c r="G51" s="2" t="s">
        <v>200</v>
      </c>
      <c r="H51" s="2" t="s">
        <v>118</v>
      </c>
      <c r="I51" s="2" t="s">
        <v>119</v>
      </c>
      <c r="J51" s="2" t="s">
        <v>120</v>
      </c>
      <c r="K51" s="2" t="s">
        <v>121</v>
      </c>
      <c r="L51" s="2" t="s">
        <v>110</v>
      </c>
      <c r="M51" s="13" t="s">
        <v>111</v>
      </c>
      <c r="N51" s="2" t="s">
        <v>112</v>
      </c>
      <c r="O51" s="14" t="s">
        <v>524</v>
      </c>
      <c r="P51" s="2"/>
      <c r="Q51" s="15" t="s">
        <v>123</v>
      </c>
      <c r="R51" s="2"/>
      <c r="S51" s="2"/>
      <c r="T51" s="2"/>
      <c r="U51" s="4"/>
      <c r="V51" s="2"/>
    </row>
    <row r="52" customFormat="false" ht="57.45" hidden="false" customHeight="false" outlineLevel="0" collapsed="false">
      <c r="A52" s="2" t="s">
        <v>525</v>
      </c>
      <c r="B52" s="2" t="s">
        <v>226</v>
      </c>
      <c r="C52" s="2" t="s">
        <v>526</v>
      </c>
      <c r="D52" s="2" t="n">
        <v>5032294024</v>
      </c>
      <c r="E52" s="12" t="n">
        <f aca="false">INDEX(База!$E:$E,59)</f>
        <v>358</v>
      </c>
      <c r="F52" s="2" t="s">
        <v>471</v>
      </c>
      <c r="G52" s="2" t="s">
        <v>527</v>
      </c>
      <c r="H52" s="2" t="s">
        <v>528</v>
      </c>
      <c r="I52" s="2" t="s">
        <v>529</v>
      </c>
      <c r="J52" s="2" t="s">
        <v>530</v>
      </c>
      <c r="K52" s="2" t="s">
        <v>177</v>
      </c>
      <c r="L52" s="2" t="s">
        <v>531</v>
      </c>
      <c r="M52" s="18" t="s">
        <v>278</v>
      </c>
      <c r="N52" s="2" t="s">
        <v>532</v>
      </c>
      <c r="O52" s="2" t="s">
        <v>139</v>
      </c>
      <c r="P52" s="2" t="s">
        <v>533</v>
      </c>
      <c r="Q52" s="2"/>
      <c r="R52" s="2"/>
      <c r="S52" s="2"/>
      <c r="T52" s="2"/>
      <c r="U52" s="4"/>
      <c r="V52" s="2"/>
    </row>
    <row r="53" customFormat="false" ht="68.65" hidden="false" customHeight="false" outlineLevel="0" collapsed="false">
      <c r="A53" s="2" t="s">
        <v>534</v>
      </c>
      <c r="B53" s="2" t="s">
        <v>535</v>
      </c>
      <c r="C53" s="2" t="s">
        <v>536</v>
      </c>
      <c r="D53" s="2" t="n">
        <v>7704489895</v>
      </c>
      <c r="E53" s="12" t="n">
        <f aca="false">INDEX(База!$E:$E,60)</f>
        <v>358</v>
      </c>
      <c r="F53" s="2" t="s">
        <v>104</v>
      </c>
      <c r="G53" s="2" t="s">
        <v>537</v>
      </c>
      <c r="H53" s="2" t="s">
        <v>538</v>
      </c>
      <c r="I53" s="2" t="s">
        <v>539</v>
      </c>
      <c r="J53" s="2" t="s">
        <v>473</v>
      </c>
      <c r="K53" s="2" t="s">
        <v>121</v>
      </c>
      <c r="L53" s="2" t="s">
        <v>303</v>
      </c>
      <c r="M53" s="16" t="s">
        <v>179</v>
      </c>
      <c r="N53" s="2" t="s">
        <v>304</v>
      </c>
      <c r="O53" s="14" t="s">
        <v>540</v>
      </c>
      <c r="P53" s="2"/>
      <c r="Q53" s="15" t="s">
        <v>123</v>
      </c>
      <c r="R53" s="2"/>
      <c r="S53" s="2"/>
      <c r="T53" s="2"/>
      <c r="U53" s="4"/>
      <c r="V53" s="2"/>
    </row>
    <row r="54" customFormat="false" ht="68.65" hidden="false" customHeight="false" outlineLevel="0" collapsed="false">
      <c r="A54" s="2" t="s">
        <v>541</v>
      </c>
      <c r="B54" s="2" t="s">
        <v>153</v>
      </c>
      <c r="C54" s="2" t="s">
        <v>542</v>
      </c>
      <c r="D54" s="2" t="n">
        <v>6658426261</v>
      </c>
      <c r="E54" s="12" t="n">
        <f aca="false">INDEX(База!$E:$E,61)</f>
        <v>336</v>
      </c>
      <c r="F54" s="2" t="s">
        <v>434</v>
      </c>
      <c r="G54" s="2" t="s">
        <v>543</v>
      </c>
      <c r="H54" s="2" t="s">
        <v>544</v>
      </c>
      <c r="I54" s="2" t="s">
        <v>545</v>
      </c>
      <c r="J54" s="2" t="s">
        <v>546</v>
      </c>
      <c r="K54" s="2" t="s">
        <v>547</v>
      </c>
      <c r="L54" s="2" t="s">
        <v>160</v>
      </c>
      <c r="M54" s="17" t="s">
        <v>234</v>
      </c>
      <c r="N54" s="2" t="s">
        <v>161</v>
      </c>
      <c r="O54" s="2" t="s">
        <v>113</v>
      </c>
      <c r="P54" s="2" t="s">
        <v>548</v>
      </c>
      <c r="Q54" s="15" t="s">
        <v>237</v>
      </c>
      <c r="R54" s="2"/>
      <c r="S54" s="2"/>
      <c r="T54" s="2"/>
      <c r="U54" s="4"/>
      <c r="V54" s="2"/>
    </row>
    <row r="55" customFormat="false" ht="79.85" hidden="false" customHeight="false" outlineLevel="0" collapsed="false">
      <c r="A55" s="2" t="s">
        <v>549</v>
      </c>
      <c r="B55" s="2" t="s">
        <v>142</v>
      </c>
      <c r="C55" s="2" t="s">
        <v>550</v>
      </c>
      <c r="D55" s="2" t="n">
        <v>7719890620</v>
      </c>
      <c r="E55" s="12" t="n">
        <f aca="false">INDEX(База!$E:$E,64)</f>
        <v>330</v>
      </c>
      <c r="F55" s="2" t="s">
        <v>104</v>
      </c>
      <c r="G55" s="2" t="s">
        <v>551</v>
      </c>
      <c r="H55" s="2" t="s">
        <v>552</v>
      </c>
      <c r="I55" s="2" t="s">
        <v>553</v>
      </c>
      <c r="J55" s="2" t="s">
        <v>554</v>
      </c>
      <c r="K55" s="2" t="s">
        <v>177</v>
      </c>
      <c r="L55" s="2" t="s">
        <v>149</v>
      </c>
      <c r="M55" s="16" t="s">
        <v>179</v>
      </c>
      <c r="N55" s="2" t="s">
        <v>150</v>
      </c>
      <c r="O55" s="2" t="s">
        <v>113</v>
      </c>
      <c r="P55" s="2" t="s">
        <v>555</v>
      </c>
      <c r="Q55" s="2"/>
      <c r="R55" s="2"/>
      <c r="S55" s="2"/>
      <c r="T55" s="2"/>
      <c r="U55" s="4"/>
      <c r="V55" s="2"/>
    </row>
    <row r="56" customFormat="false" ht="68.65" hidden="false" customHeight="false" outlineLevel="0" collapsed="false">
      <c r="A56" s="2" t="s">
        <v>556</v>
      </c>
      <c r="B56" s="2" t="s">
        <v>226</v>
      </c>
      <c r="C56" s="2" t="s">
        <v>557</v>
      </c>
      <c r="D56" s="2" t="n">
        <v>7714866077</v>
      </c>
      <c r="E56" s="12" t="n">
        <f aca="false">INDEX(База!$E:$E,65)</f>
        <v>314</v>
      </c>
      <c r="F56" s="2" t="s">
        <v>104</v>
      </c>
      <c r="G56" s="2" t="s">
        <v>558</v>
      </c>
      <c r="H56" s="2" t="s">
        <v>559</v>
      </c>
      <c r="I56" s="2" t="s">
        <v>242</v>
      </c>
      <c r="J56" s="2" t="s">
        <v>560</v>
      </c>
      <c r="K56" s="2" t="s">
        <v>561</v>
      </c>
      <c r="L56" s="2" t="s">
        <v>303</v>
      </c>
      <c r="M56" s="16" t="s">
        <v>179</v>
      </c>
      <c r="N56" s="2" t="s">
        <v>400</v>
      </c>
      <c r="O56" s="2" t="s">
        <v>113</v>
      </c>
      <c r="P56" s="2" t="s">
        <v>562</v>
      </c>
      <c r="Q56" s="2"/>
      <c r="R56" s="2"/>
      <c r="S56" s="2"/>
      <c r="T56" s="2"/>
      <c r="U56" s="4"/>
      <c r="V56" s="2"/>
    </row>
    <row r="57" customFormat="false" ht="57.45" hidden="false" customHeight="false" outlineLevel="0" collapsed="false">
      <c r="A57" s="2" t="s">
        <v>563</v>
      </c>
      <c r="B57" s="2" t="s">
        <v>270</v>
      </c>
      <c r="C57" s="2" t="s">
        <v>564</v>
      </c>
      <c r="D57" s="2" t="n">
        <v>5040147369</v>
      </c>
      <c r="E57" s="12" t="n">
        <f aca="false">INDEX(База!$E:$E,66)</f>
        <v>299</v>
      </c>
      <c r="F57" s="2" t="s">
        <v>471</v>
      </c>
      <c r="G57" s="2" t="s">
        <v>565</v>
      </c>
      <c r="H57" s="2" t="s">
        <v>566</v>
      </c>
      <c r="I57" s="2" t="s">
        <v>567</v>
      </c>
      <c r="J57" s="2" t="s">
        <v>568</v>
      </c>
      <c r="K57" s="2" t="s">
        <v>569</v>
      </c>
      <c r="L57" s="2" t="s">
        <v>570</v>
      </c>
      <c r="M57" s="17" t="s">
        <v>234</v>
      </c>
      <c r="N57" s="2" t="s">
        <v>349</v>
      </c>
      <c r="O57" s="2" t="s">
        <v>139</v>
      </c>
      <c r="P57" s="2" t="s">
        <v>571</v>
      </c>
      <c r="Q57" s="15" t="s">
        <v>237</v>
      </c>
      <c r="R57" s="2"/>
      <c r="S57" s="2"/>
      <c r="T57" s="2"/>
      <c r="U57" s="4"/>
      <c r="V57" s="2"/>
    </row>
    <row r="58" customFormat="false" ht="68.65" hidden="false" customHeight="false" outlineLevel="0" collapsed="false">
      <c r="A58" s="2" t="s">
        <v>572</v>
      </c>
      <c r="B58" s="2" t="s">
        <v>153</v>
      </c>
      <c r="C58" s="2" t="s">
        <v>573</v>
      </c>
      <c r="D58" s="2" t="n">
        <v>1659188885</v>
      </c>
      <c r="E58" s="12" t="n">
        <f aca="false">INDEX(База!$E:$E,67)</f>
        <v>291</v>
      </c>
      <c r="F58" s="2" t="s">
        <v>574</v>
      </c>
      <c r="G58" s="2" t="s">
        <v>575</v>
      </c>
      <c r="H58" s="2" t="s">
        <v>576</v>
      </c>
      <c r="I58" s="2" t="s">
        <v>577</v>
      </c>
      <c r="J58" s="2" t="s">
        <v>578</v>
      </c>
      <c r="K58" s="2" t="s">
        <v>579</v>
      </c>
      <c r="L58" s="2" t="s">
        <v>160</v>
      </c>
      <c r="M58" s="17" t="s">
        <v>234</v>
      </c>
      <c r="N58" s="2" t="s">
        <v>332</v>
      </c>
      <c r="O58" s="2" t="s">
        <v>139</v>
      </c>
      <c r="P58" s="2" t="s">
        <v>580</v>
      </c>
      <c r="Q58" s="15" t="s">
        <v>237</v>
      </c>
      <c r="R58" s="2"/>
      <c r="S58" s="2"/>
      <c r="T58" s="2"/>
      <c r="U58" s="4"/>
      <c r="V58" s="2"/>
    </row>
    <row r="59" customFormat="false" ht="79.85" hidden="false" customHeight="false" outlineLevel="0" collapsed="false">
      <c r="A59" s="2" t="s">
        <v>581</v>
      </c>
      <c r="B59" s="2" t="s">
        <v>297</v>
      </c>
      <c r="C59" s="2" t="s">
        <v>582</v>
      </c>
      <c r="D59" s="2" t="n">
        <v>7730104245</v>
      </c>
      <c r="E59" s="12" t="n">
        <f aca="false">INDEX(База!$E:$E,68)</f>
        <v>286</v>
      </c>
      <c r="F59" s="2" t="s">
        <v>104</v>
      </c>
      <c r="G59" s="2" t="s">
        <v>583</v>
      </c>
      <c r="H59" s="2" t="s">
        <v>584</v>
      </c>
      <c r="I59" s="2" t="s">
        <v>585</v>
      </c>
      <c r="J59" s="2" t="s">
        <v>586</v>
      </c>
      <c r="K59" s="2" t="s">
        <v>587</v>
      </c>
      <c r="L59" s="2" t="s">
        <v>303</v>
      </c>
      <c r="M59" s="16" t="s">
        <v>179</v>
      </c>
      <c r="N59" s="2" t="s">
        <v>304</v>
      </c>
      <c r="O59" s="2" t="s">
        <v>139</v>
      </c>
      <c r="P59" s="2" t="s">
        <v>588</v>
      </c>
      <c r="Q59" s="2"/>
      <c r="R59" s="2"/>
      <c r="S59" s="2"/>
      <c r="T59" s="2"/>
      <c r="U59" s="4"/>
      <c r="V59" s="2"/>
    </row>
    <row r="60" customFormat="false" ht="57.45" hidden="false" customHeight="false" outlineLevel="0" collapsed="false">
      <c r="A60" s="2" t="s">
        <v>589</v>
      </c>
      <c r="B60" s="2" t="s">
        <v>226</v>
      </c>
      <c r="C60" s="2" t="s">
        <v>590</v>
      </c>
      <c r="D60" s="2" t="n">
        <v>7727570341</v>
      </c>
      <c r="E60" s="12" t="n">
        <f aca="false">INDEX(База!$E:$E,69)</f>
        <v>281</v>
      </c>
      <c r="F60" s="2" t="s">
        <v>104</v>
      </c>
      <c r="G60" s="2" t="s">
        <v>591</v>
      </c>
      <c r="H60" s="2" t="s">
        <v>592</v>
      </c>
      <c r="I60" s="2" t="s">
        <v>593</v>
      </c>
      <c r="J60" s="2" t="s">
        <v>594</v>
      </c>
      <c r="K60" s="2" t="s">
        <v>121</v>
      </c>
      <c r="L60" s="2" t="s">
        <v>399</v>
      </c>
      <c r="M60" s="13" t="s">
        <v>111</v>
      </c>
      <c r="N60" s="2" t="s">
        <v>400</v>
      </c>
      <c r="O60" s="14" t="s">
        <v>595</v>
      </c>
      <c r="P60" s="2"/>
      <c r="Q60" s="15" t="s">
        <v>596</v>
      </c>
      <c r="R60" s="2"/>
      <c r="S60" s="2"/>
      <c r="T60" s="2"/>
      <c r="U60" s="4"/>
      <c r="V60" s="2"/>
    </row>
    <row r="61" customFormat="false" ht="68.65" hidden="false" customHeight="false" outlineLevel="0" collapsed="false">
      <c r="A61" s="2" t="s">
        <v>597</v>
      </c>
      <c r="B61" s="2" t="s">
        <v>142</v>
      </c>
      <c r="C61" s="2" t="s">
        <v>598</v>
      </c>
      <c r="D61" s="2" t="n">
        <v>7714606600</v>
      </c>
      <c r="E61" s="12" t="n">
        <f aca="false">INDEX(База!$E:$E,70)</f>
        <v>269</v>
      </c>
      <c r="F61" s="2" t="s">
        <v>104</v>
      </c>
      <c r="G61" s="2" t="s">
        <v>599</v>
      </c>
      <c r="H61" s="2" t="s">
        <v>600</v>
      </c>
      <c r="I61" s="2" t="s">
        <v>601</v>
      </c>
      <c r="J61" s="2" t="s">
        <v>602</v>
      </c>
      <c r="K61" s="2" t="s">
        <v>603</v>
      </c>
      <c r="L61" s="2" t="s">
        <v>303</v>
      </c>
      <c r="M61" s="16" t="s">
        <v>179</v>
      </c>
      <c r="N61" s="2" t="s">
        <v>150</v>
      </c>
      <c r="O61" s="2" t="s">
        <v>113</v>
      </c>
      <c r="P61" s="2" t="s">
        <v>604</v>
      </c>
      <c r="Q61" s="2"/>
      <c r="R61" s="2"/>
      <c r="S61" s="2"/>
      <c r="T61" s="2"/>
      <c r="U61" s="4"/>
      <c r="V61" s="2"/>
    </row>
    <row r="62" customFormat="false" ht="79.85" hidden="false" customHeight="false" outlineLevel="0" collapsed="false">
      <c r="A62" s="2" t="s">
        <v>605</v>
      </c>
      <c r="B62" s="2" t="s">
        <v>458</v>
      </c>
      <c r="C62" s="2" t="s">
        <v>606</v>
      </c>
      <c r="D62" s="2" t="n">
        <v>5258105649</v>
      </c>
      <c r="E62" s="12" t="n">
        <f aca="false">INDEX(База!$E:$E,71)</f>
        <v>267</v>
      </c>
      <c r="F62" s="2" t="s">
        <v>607</v>
      </c>
      <c r="G62" s="2" t="s">
        <v>608</v>
      </c>
      <c r="H62" s="2" t="s">
        <v>609</v>
      </c>
      <c r="I62" s="2" t="s">
        <v>610</v>
      </c>
      <c r="J62" s="2" t="s">
        <v>611</v>
      </c>
      <c r="K62" s="2" t="s">
        <v>612</v>
      </c>
      <c r="L62" s="2" t="s">
        <v>613</v>
      </c>
      <c r="M62" s="13" t="s">
        <v>111</v>
      </c>
      <c r="N62" s="2" t="s">
        <v>466</v>
      </c>
      <c r="O62" s="2" t="s">
        <v>113</v>
      </c>
      <c r="P62" s="2" t="s">
        <v>614</v>
      </c>
      <c r="Q62" s="2"/>
      <c r="R62" s="2"/>
      <c r="S62" s="2"/>
      <c r="T62" s="2"/>
      <c r="U62" s="4"/>
      <c r="V62" s="2"/>
    </row>
    <row r="63" customFormat="false" ht="68.65" hidden="false" customHeight="false" outlineLevel="0" collapsed="false">
      <c r="A63" s="2" t="s">
        <v>615</v>
      </c>
      <c r="B63" s="2" t="s">
        <v>153</v>
      </c>
      <c r="C63" s="2" t="s">
        <v>616</v>
      </c>
      <c r="D63" s="2" t="n">
        <v>7726429875</v>
      </c>
      <c r="E63" s="12" t="n">
        <f aca="false">INDEX(База!$E:$E,72)</f>
        <v>258</v>
      </c>
      <c r="F63" s="2" t="s">
        <v>104</v>
      </c>
      <c r="G63" s="2" t="s">
        <v>617</v>
      </c>
      <c r="H63" s="2" t="s">
        <v>618</v>
      </c>
      <c r="I63" s="2" t="s">
        <v>619</v>
      </c>
      <c r="J63" s="2" t="s">
        <v>620</v>
      </c>
      <c r="K63" s="2" t="s">
        <v>621</v>
      </c>
      <c r="L63" s="2" t="s">
        <v>622</v>
      </c>
      <c r="M63" s="18" t="s">
        <v>278</v>
      </c>
      <c r="N63" s="2" t="s">
        <v>623</v>
      </c>
      <c r="O63" s="2" t="s">
        <v>113</v>
      </c>
      <c r="P63" s="2" t="s">
        <v>624</v>
      </c>
      <c r="Q63" s="15" t="s">
        <v>625</v>
      </c>
      <c r="R63" s="2"/>
      <c r="S63" s="2"/>
      <c r="T63" s="2"/>
      <c r="U63" s="4"/>
      <c r="V63" s="2"/>
    </row>
    <row r="64" customFormat="false" ht="68.65" hidden="false" customHeight="false" outlineLevel="0" collapsed="false">
      <c r="A64" s="2" t="s">
        <v>626</v>
      </c>
      <c r="B64" s="2" t="s">
        <v>142</v>
      </c>
      <c r="C64" s="2" t="s">
        <v>627</v>
      </c>
      <c r="D64" s="2" t="n">
        <v>7726453620</v>
      </c>
      <c r="E64" s="12" t="n">
        <f aca="false">INDEX(База!$E:$E,73)</f>
        <v>246</v>
      </c>
      <c r="F64" s="2" t="s">
        <v>104</v>
      </c>
      <c r="G64" s="2" t="s">
        <v>628</v>
      </c>
      <c r="H64" s="2" t="s">
        <v>629</v>
      </c>
      <c r="I64" s="2" t="s">
        <v>630</v>
      </c>
      <c r="J64" s="2" t="s">
        <v>631</v>
      </c>
      <c r="K64" s="2" t="s">
        <v>632</v>
      </c>
      <c r="L64" s="2" t="s">
        <v>633</v>
      </c>
      <c r="M64" s="17" t="s">
        <v>234</v>
      </c>
      <c r="N64" s="2" t="s">
        <v>634</v>
      </c>
      <c r="O64" s="2" t="s">
        <v>113</v>
      </c>
      <c r="P64" s="2" t="s">
        <v>635</v>
      </c>
      <c r="Q64" s="15" t="s">
        <v>237</v>
      </c>
      <c r="R64" s="2"/>
      <c r="S64" s="2"/>
      <c r="T64" s="2"/>
      <c r="U64" s="4"/>
      <c r="V64" s="2"/>
    </row>
    <row r="65" customFormat="false" ht="68.65" hidden="false" customHeight="false" outlineLevel="0" collapsed="false">
      <c r="A65" s="2" t="s">
        <v>636</v>
      </c>
      <c r="B65" s="2" t="s">
        <v>458</v>
      </c>
      <c r="C65" s="2" t="s">
        <v>637</v>
      </c>
      <c r="D65" s="2" t="n">
        <v>7727457593</v>
      </c>
      <c r="E65" s="12" t="n">
        <f aca="false">INDEX(База!$E:$E,75)</f>
        <v>246</v>
      </c>
      <c r="F65" s="2" t="s">
        <v>104</v>
      </c>
      <c r="G65" s="2" t="s">
        <v>638</v>
      </c>
      <c r="H65" s="2" t="s">
        <v>639</v>
      </c>
      <c r="I65" s="2" t="s">
        <v>242</v>
      </c>
      <c r="J65" s="2" t="s">
        <v>640</v>
      </c>
      <c r="K65" s="2" t="s">
        <v>641</v>
      </c>
      <c r="L65" s="2" t="s">
        <v>642</v>
      </c>
      <c r="M65" s="13" t="s">
        <v>111</v>
      </c>
      <c r="N65" s="2" t="s">
        <v>466</v>
      </c>
      <c r="O65" s="2" t="s">
        <v>113</v>
      </c>
      <c r="P65" s="2" t="s">
        <v>643</v>
      </c>
      <c r="Q65" s="2"/>
      <c r="R65" s="2"/>
      <c r="S65" s="2"/>
      <c r="T65" s="2"/>
      <c r="U65" s="4"/>
      <c r="V65" s="2"/>
    </row>
    <row r="66" customFormat="false" ht="57.45" hidden="false" customHeight="false" outlineLevel="0" collapsed="false">
      <c r="A66" s="2" t="s">
        <v>644</v>
      </c>
      <c r="B66" s="2" t="s">
        <v>270</v>
      </c>
      <c r="C66" s="2" t="s">
        <v>645</v>
      </c>
      <c r="D66" s="2" t="n">
        <v>9717055592</v>
      </c>
      <c r="E66" s="12" t="n">
        <f aca="false">INDEX(База!$E:$E,77)</f>
        <v>229</v>
      </c>
      <c r="F66" s="2" t="s">
        <v>104</v>
      </c>
      <c r="G66" s="2" t="s">
        <v>646</v>
      </c>
      <c r="H66" s="2" t="s">
        <v>647</v>
      </c>
      <c r="I66" s="2" t="s">
        <v>648</v>
      </c>
      <c r="J66" s="2" t="s">
        <v>649</v>
      </c>
      <c r="K66" s="2" t="s">
        <v>650</v>
      </c>
      <c r="L66" s="2" t="s">
        <v>348</v>
      </c>
      <c r="M66" s="17" t="s">
        <v>234</v>
      </c>
      <c r="N66" s="2" t="s">
        <v>349</v>
      </c>
      <c r="O66" s="2" t="s">
        <v>139</v>
      </c>
      <c r="P66" s="2" t="s">
        <v>651</v>
      </c>
      <c r="Q66" s="2"/>
      <c r="R66" s="2"/>
      <c r="S66" s="2"/>
      <c r="T66" s="2"/>
      <c r="U66" s="4"/>
      <c r="V66" s="2"/>
    </row>
    <row r="67" customFormat="false" ht="57.45" hidden="false" customHeight="false" outlineLevel="0" collapsed="false">
      <c r="A67" s="2" t="s">
        <v>652</v>
      </c>
      <c r="B67" s="2" t="s">
        <v>270</v>
      </c>
      <c r="C67" s="2" t="s">
        <v>653</v>
      </c>
      <c r="D67" s="2" t="n">
        <v>7722421339</v>
      </c>
      <c r="E67" s="12" t="n">
        <f aca="false">INDEX(База!$E:$E,78)</f>
        <v>223</v>
      </c>
      <c r="F67" s="2" t="s">
        <v>104</v>
      </c>
      <c r="G67" s="2" t="s">
        <v>654</v>
      </c>
      <c r="H67" s="2" t="s">
        <v>655</v>
      </c>
      <c r="I67" s="2" t="s">
        <v>656</v>
      </c>
      <c r="J67" s="2" t="s">
        <v>657</v>
      </c>
      <c r="K67" s="2" t="s">
        <v>658</v>
      </c>
      <c r="L67" s="2" t="s">
        <v>348</v>
      </c>
      <c r="M67" s="17" t="s">
        <v>234</v>
      </c>
      <c r="N67" s="2" t="s">
        <v>349</v>
      </c>
      <c r="O67" s="2" t="s">
        <v>139</v>
      </c>
      <c r="P67" s="2" t="s">
        <v>659</v>
      </c>
      <c r="Q67" s="15" t="s">
        <v>237</v>
      </c>
      <c r="R67" s="2"/>
      <c r="S67" s="2"/>
      <c r="T67" s="2"/>
      <c r="U67" s="4"/>
      <c r="V67" s="2"/>
    </row>
    <row r="68" customFormat="false" ht="102.2" hidden="false" customHeight="false" outlineLevel="0" collapsed="false">
      <c r="A68" s="2" t="s">
        <v>660</v>
      </c>
      <c r="B68" s="2" t="s">
        <v>102</v>
      </c>
      <c r="C68" s="2" t="s">
        <v>661</v>
      </c>
      <c r="D68" s="2" t="n">
        <v>7734668490</v>
      </c>
      <c r="E68" s="12" t="n">
        <f aca="false">INDEX(База!$E:$E,79)</f>
        <v>223</v>
      </c>
      <c r="F68" s="2" t="s">
        <v>104</v>
      </c>
      <c r="G68" s="2" t="s">
        <v>662</v>
      </c>
      <c r="H68" s="2" t="s">
        <v>663</v>
      </c>
      <c r="I68" s="2" t="s">
        <v>664</v>
      </c>
      <c r="J68" s="2" t="s">
        <v>665</v>
      </c>
      <c r="K68" s="2" t="s">
        <v>177</v>
      </c>
      <c r="L68" s="2" t="s">
        <v>110</v>
      </c>
      <c r="M68" s="13" t="s">
        <v>111</v>
      </c>
      <c r="N68" s="2" t="s">
        <v>112</v>
      </c>
      <c r="O68" s="2" t="s">
        <v>113</v>
      </c>
      <c r="P68" s="2" t="s">
        <v>666</v>
      </c>
      <c r="Q68" s="2"/>
      <c r="R68" s="2"/>
      <c r="S68" s="2"/>
      <c r="T68" s="2"/>
      <c r="U68" s="4"/>
      <c r="V68" s="2"/>
    </row>
    <row r="69" customFormat="false" ht="57.45" hidden="false" customHeight="false" outlineLevel="0" collapsed="false">
      <c r="A69" s="2" t="s">
        <v>667</v>
      </c>
      <c r="B69" s="2" t="s">
        <v>270</v>
      </c>
      <c r="C69" s="2" t="s">
        <v>668</v>
      </c>
      <c r="D69" s="2" t="n">
        <v>7839120735</v>
      </c>
      <c r="E69" s="12" t="n">
        <f aca="false">INDEX(База!$E:$E,80)</f>
        <v>206</v>
      </c>
      <c r="F69" s="2" t="s">
        <v>183</v>
      </c>
      <c r="G69" s="2" t="s">
        <v>669</v>
      </c>
      <c r="H69" s="2" t="s">
        <v>670</v>
      </c>
      <c r="I69" s="2" t="s">
        <v>671</v>
      </c>
      <c r="J69" s="2" t="s">
        <v>672</v>
      </c>
      <c r="K69" s="2" t="s">
        <v>673</v>
      </c>
      <c r="L69" s="2" t="s">
        <v>674</v>
      </c>
      <c r="M69" s="17" t="s">
        <v>234</v>
      </c>
      <c r="N69" s="2" t="s">
        <v>349</v>
      </c>
      <c r="O69" s="2" t="s">
        <v>139</v>
      </c>
      <c r="P69" s="2" t="s">
        <v>675</v>
      </c>
      <c r="Q69" s="15" t="s">
        <v>237</v>
      </c>
      <c r="R69" s="2"/>
      <c r="S69" s="2"/>
      <c r="T69" s="2"/>
      <c r="U69" s="4"/>
      <c r="V69" s="2"/>
    </row>
    <row r="70" customFormat="false" ht="68.65" hidden="false" customHeight="false" outlineLevel="0" collapsed="false">
      <c r="A70" s="2" t="s">
        <v>676</v>
      </c>
      <c r="B70" s="2" t="s">
        <v>315</v>
      </c>
      <c r="C70" s="2" t="s">
        <v>677</v>
      </c>
      <c r="D70" s="2" t="n">
        <v>9705057490</v>
      </c>
      <c r="E70" s="12" t="n">
        <f aca="false">INDEX(База!$E:$E,81)</f>
        <v>205</v>
      </c>
      <c r="F70" s="2" t="s">
        <v>104</v>
      </c>
      <c r="G70" s="2" t="s">
        <v>678</v>
      </c>
      <c r="H70" s="2" t="s">
        <v>679</v>
      </c>
      <c r="I70" s="2" t="s">
        <v>680</v>
      </c>
      <c r="J70" s="2" t="s">
        <v>681</v>
      </c>
      <c r="K70" s="2" t="s">
        <v>682</v>
      </c>
      <c r="L70" s="2" t="s">
        <v>683</v>
      </c>
      <c r="M70" s="18" t="s">
        <v>278</v>
      </c>
      <c r="N70" s="2" t="s">
        <v>323</v>
      </c>
      <c r="O70" s="2" t="s">
        <v>113</v>
      </c>
      <c r="P70" s="2" t="s">
        <v>684</v>
      </c>
      <c r="Q70" s="2"/>
      <c r="R70" s="2"/>
      <c r="S70" s="2"/>
      <c r="T70" s="2"/>
      <c r="U70" s="4"/>
      <c r="V70" s="2"/>
    </row>
    <row r="71" customFormat="false" ht="57.45" hidden="false" customHeight="false" outlineLevel="0" collapsed="false">
      <c r="A71" s="2" t="s">
        <v>685</v>
      </c>
      <c r="B71" s="2" t="s">
        <v>153</v>
      </c>
      <c r="C71" s="2" t="s">
        <v>686</v>
      </c>
      <c r="D71" s="2" t="n">
        <v>7727355810</v>
      </c>
      <c r="E71" s="12" t="n">
        <f aca="false">INDEX(База!$E:$E,82)</f>
        <v>203</v>
      </c>
      <c r="F71" s="2" t="s">
        <v>104</v>
      </c>
      <c r="G71" s="2" t="s">
        <v>687</v>
      </c>
      <c r="H71" s="2" t="s">
        <v>688</v>
      </c>
      <c r="I71" s="2" t="s">
        <v>689</v>
      </c>
      <c r="J71" s="2" t="s">
        <v>690</v>
      </c>
      <c r="K71" s="2" t="s">
        <v>691</v>
      </c>
      <c r="L71" s="2" t="s">
        <v>692</v>
      </c>
      <c r="M71" s="13" t="s">
        <v>111</v>
      </c>
      <c r="N71" s="2" t="s">
        <v>693</v>
      </c>
      <c r="O71" s="2" t="s">
        <v>113</v>
      </c>
      <c r="P71" s="2" t="s">
        <v>694</v>
      </c>
      <c r="Q71" s="15" t="s">
        <v>695</v>
      </c>
      <c r="R71" s="2"/>
      <c r="S71" s="2"/>
      <c r="T71" s="2"/>
      <c r="U71" s="4"/>
      <c r="V71" s="2"/>
    </row>
    <row r="72" customFormat="false" ht="79.85" hidden="false" customHeight="false" outlineLevel="0" collapsed="false">
      <c r="A72" s="2" t="s">
        <v>696</v>
      </c>
      <c r="B72" s="2" t="s">
        <v>297</v>
      </c>
      <c r="C72" s="2" t="s">
        <v>697</v>
      </c>
      <c r="D72" s="2" t="n">
        <v>7713641585</v>
      </c>
      <c r="E72" s="12" t="n">
        <f aca="false">INDEX(База!$E:$E,83)</f>
        <v>190</v>
      </c>
      <c r="F72" s="2" t="s">
        <v>104</v>
      </c>
      <c r="G72" s="2" t="s">
        <v>698</v>
      </c>
      <c r="H72" s="2" t="s">
        <v>699</v>
      </c>
      <c r="I72" s="2" t="s">
        <v>700</v>
      </c>
      <c r="J72" s="2" t="s">
        <v>311</v>
      </c>
      <c r="K72" s="2" t="s">
        <v>177</v>
      </c>
      <c r="L72" s="2" t="s">
        <v>303</v>
      </c>
      <c r="M72" s="16" t="s">
        <v>179</v>
      </c>
      <c r="N72" s="2" t="s">
        <v>304</v>
      </c>
      <c r="O72" s="2" t="s">
        <v>139</v>
      </c>
      <c r="P72" s="2" t="s">
        <v>701</v>
      </c>
      <c r="Q72" s="2"/>
      <c r="R72" s="2"/>
      <c r="S72" s="2"/>
      <c r="T72" s="2"/>
      <c r="U72" s="4"/>
      <c r="V72" s="2"/>
    </row>
    <row r="73" customFormat="false" ht="68.65" hidden="false" customHeight="false" outlineLevel="0" collapsed="false">
      <c r="A73" s="2" t="s">
        <v>702</v>
      </c>
      <c r="B73" s="2" t="s">
        <v>153</v>
      </c>
      <c r="C73" s="2" t="s">
        <v>703</v>
      </c>
      <c r="D73" s="2" t="n">
        <v>7716207129</v>
      </c>
      <c r="E73" s="12" t="n">
        <f aca="false">INDEX(База!$E:$E,84)</f>
        <v>187</v>
      </c>
      <c r="F73" s="2" t="s">
        <v>104</v>
      </c>
      <c r="G73" s="2" t="s">
        <v>704</v>
      </c>
      <c r="H73" s="2" t="s">
        <v>705</v>
      </c>
      <c r="I73" s="2" t="s">
        <v>706</v>
      </c>
      <c r="J73" s="2" t="s">
        <v>707</v>
      </c>
      <c r="K73" s="2" t="s">
        <v>159</v>
      </c>
      <c r="L73" s="2" t="s">
        <v>160</v>
      </c>
      <c r="M73" s="17" t="s">
        <v>234</v>
      </c>
      <c r="N73" s="2" t="s">
        <v>161</v>
      </c>
      <c r="O73" s="2" t="s">
        <v>139</v>
      </c>
      <c r="P73" s="2" t="s">
        <v>708</v>
      </c>
      <c r="Q73" s="2"/>
      <c r="R73" s="2"/>
      <c r="S73" s="2"/>
      <c r="T73" s="2"/>
      <c r="U73" s="4"/>
      <c r="V73" s="2"/>
    </row>
    <row r="74" customFormat="false" ht="46.25" hidden="false" customHeight="false" outlineLevel="0" collapsed="false">
      <c r="A74" s="2" t="s">
        <v>709</v>
      </c>
      <c r="B74" s="2" t="s">
        <v>153</v>
      </c>
      <c r="C74" s="2" t="s">
        <v>710</v>
      </c>
      <c r="D74" s="2" t="n">
        <v>9729025070</v>
      </c>
      <c r="E74" s="12" t="n">
        <f aca="false">INDEX(База!$E:$E,85)</f>
        <v>186</v>
      </c>
      <c r="F74" s="2" t="s">
        <v>104</v>
      </c>
      <c r="G74" s="2" t="s">
        <v>711</v>
      </c>
      <c r="H74" s="2" t="s">
        <v>712</v>
      </c>
      <c r="I74" s="2" t="s">
        <v>713</v>
      </c>
      <c r="J74" s="2" t="s">
        <v>714</v>
      </c>
      <c r="K74" s="2" t="s">
        <v>159</v>
      </c>
      <c r="L74" s="2" t="s">
        <v>160</v>
      </c>
      <c r="M74" s="17" t="s">
        <v>234</v>
      </c>
      <c r="N74" s="2" t="s">
        <v>161</v>
      </c>
      <c r="O74" s="2" t="s">
        <v>113</v>
      </c>
      <c r="P74" s="2" t="s">
        <v>715</v>
      </c>
      <c r="Q74" s="2"/>
      <c r="R74" s="2"/>
      <c r="S74" s="2"/>
      <c r="T74" s="2"/>
      <c r="U74" s="4"/>
      <c r="V74" s="2"/>
    </row>
    <row r="75" customFormat="false" ht="57.45" hidden="false" customHeight="false" outlineLevel="0" collapsed="false">
      <c r="A75" s="2" t="s">
        <v>716</v>
      </c>
      <c r="B75" s="2" t="s">
        <v>315</v>
      </c>
      <c r="C75" s="2" t="s">
        <v>717</v>
      </c>
      <c r="D75" s="2" t="n">
        <v>5024230595</v>
      </c>
      <c r="E75" s="12" t="n">
        <f aca="false">INDEX(База!$E:$E,86)</f>
        <v>186</v>
      </c>
      <c r="F75" s="2" t="s">
        <v>104</v>
      </c>
      <c r="G75" s="2" t="s">
        <v>718</v>
      </c>
      <c r="H75" s="2" t="s">
        <v>719</v>
      </c>
      <c r="I75" s="2" t="s">
        <v>720</v>
      </c>
      <c r="J75" s="2" t="s">
        <v>721</v>
      </c>
      <c r="K75" s="2" t="s">
        <v>159</v>
      </c>
      <c r="L75" s="2" t="s">
        <v>358</v>
      </c>
      <c r="M75" s="18" t="s">
        <v>278</v>
      </c>
      <c r="N75" s="2" t="s">
        <v>323</v>
      </c>
      <c r="O75" s="2" t="s">
        <v>139</v>
      </c>
      <c r="P75" s="2" t="s">
        <v>722</v>
      </c>
      <c r="Q75" s="15" t="s">
        <v>723</v>
      </c>
      <c r="R75" s="2"/>
      <c r="S75" s="2"/>
      <c r="T75" s="2"/>
      <c r="U75" s="4"/>
      <c r="V75" s="2"/>
    </row>
    <row r="76" customFormat="false" ht="68.65" hidden="false" customHeight="false" outlineLevel="0" collapsed="false">
      <c r="A76" s="2" t="s">
        <v>724</v>
      </c>
      <c r="B76" s="2" t="s">
        <v>153</v>
      </c>
      <c r="C76" s="2" t="s">
        <v>725</v>
      </c>
      <c r="D76" s="2" t="n">
        <v>7727299604</v>
      </c>
      <c r="E76" s="12" t="n">
        <f aca="false">INDEX(База!$E:$E,87)</f>
        <v>185</v>
      </c>
      <c r="F76" s="2" t="s">
        <v>104</v>
      </c>
      <c r="G76" s="2" t="s">
        <v>726</v>
      </c>
      <c r="H76" s="2" t="s">
        <v>727</v>
      </c>
      <c r="I76" s="2" t="s">
        <v>728</v>
      </c>
      <c r="J76" s="2" t="s">
        <v>729</v>
      </c>
      <c r="K76" s="2" t="s">
        <v>159</v>
      </c>
      <c r="L76" s="2" t="s">
        <v>730</v>
      </c>
      <c r="M76" s="13" t="s">
        <v>111</v>
      </c>
      <c r="N76" s="2" t="s">
        <v>731</v>
      </c>
      <c r="O76" s="2" t="s">
        <v>113</v>
      </c>
      <c r="P76" s="2" t="s">
        <v>732</v>
      </c>
      <c r="Q76" s="2"/>
      <c r="R76" s="2"/>
      <c r="S76" s="2"/>
      <c r="T76" s="2"/>
      <c r="U76" s="4"/>
      <c r="V76" s="2"/>
    </row>
    <row r="77" customFormat="false" ht="46.25" hidden="false" customHeight="false" outlineLevel="0" collapsed="false">
      <c r="A77" s="2" t="s">
        <v>733</v>
      </c>
      <c r="B77" s="2" t="s">
        <v>153</v>
      </c>
      <c r="C77" s="2" t="s">
        <v>734</v>
      </c>
      <c r="D77" s="2" t="n">
        <v>7743670583</v>
      </c>
      <c r="E77" s="12" t="n">
        <f aca="false">INDEX(База!$E:$E,89)</f>
        <v>166</v>
      </c>
      <c r="F77" s="2" t="s">
        <v>104</v>
      </c>
      <c r="G77" s="2" t="s">
        <v>735</v>
      </c>
      <c r="H77" s="2" t="s">
        <v>736</v>
      </c>
      <c r="I77" s="2" t="s">
        <v>737</v>
      </c>
      <c r="J77" s="2" t="s">
        <v>738</v>
      </c>
      <c r="K77" s="2" t="s">
        <v>739</v>
      </c>
      <c r="L77" s="2" t="s">
        <v>160</v>
      </c>
      <c r="M77" s="17" t="s">
        <v>234</v>
      </c>
      <c r="N77" s="2" t="s">
        <v>161</v>
      </c>
      <c r="O77" s="2" t="s">
        <v>113</v>
      </c>
      <c r="P77" s="2" t="s">
        <v>740</v>
      </c>
      <c r="Q77" s="15" t="s">
        <v>237</v>
      </c>
      <c r="R77" s="2"/>
      <c r="S77" s="2"/>
      <c r="T77" s="2"/>
      <c r="U77" s="4"/>
      <c r="V77" s="2"/>
    </row>
    <row r="78" customFormat="false" ht="46.25" hidden="false" customHeight="false" outlineLevel="0" collapsed="false">
      <c r="A78" s="2" t="s">
        <v>741</v>
      </c>
      <c r="B78" s="2" t="s">
        <v>153</v>
      </c>
      <c r="C78" s="2" t="s">
        <v>742</v>
      </c>
      <c r="D78" s="2" t="n">
        <v>6161094811</v>
      </c>
      <c r="E78" s="12" t="n">
        <f aca="false">INDEX(База!$E:$E,90)</f>
        <v>166</v>
      </c>
      <c r="F78" s="2" t="s">
        <v>743</v>
      </c>
      <c r="G78" s="2" t="s">
        <v>744</v>
      </c>
      <c r="H78" s="2" t="s">
        <v>745</v>
      </c>
      <c r="I78" s="2" t="s">
        <v>746</v>
      </c>
      <c r="J78" s="2" t="s">
        <v>747</v>
      </c>
      <c r="K78" s="2" t="s">
        <v>159</v>
      </c>
      <c r="L78" s="2" t="s">
        <v>160</v>
      </c>
      <c r="M78" s="17" t="s">
        <v>234</v>
      </c>
      <c r="N78" s="2" t="s">
        <v>748</v>
      </c>
      <c r="O78" s="2" t="s">
        <v>139</v>
      </c>
      <c r="P78" s="2" t="s">
        <v>749</v>
      </c>
      <c r="Q78" s="2"/>
      <c r="R78" s="2"/>
      <c r="S78" s="2"/>
      <c r="T78" s="2"/>
      <c r="U78" s="4"/>
      <c r="V78" s="2"/>
    </row>
    <row r="79" customFormat="false" ht="79.85" hidden="false" customHeight="false" outlineLevel="0" collapsed="false">
      <c r="A79" s="2" t="s">
        <v>750</v>
      </c>
      <c r="B79" s="2" t="s">
        <v>142</v>
      </c>
      <c r="C79" s="2" t="s">
        <v>751</v>
      </c>
      <c r="D79" s="2" t="n">
        <v>7704660863</v>
      </c>
      <c r="E79" s="12" t="n">
        <f aca="false">INDEX(База!$E:$E,91)</f>
        <v>165</v>
      </c>
      <c r="F79" s="2" t="s">
        <v>104</v>
      </c>
      <c r="G79" s="2" t="s">
        <v>752</v>
      </c>
      <c r="H79" s="2" t="s">
        <v>753</v>
      </c>
      <c r="I79" s="2" t="s">
        <v>754</v>
      </c>
      <c r="J79" s="2" t="s">
        <v>755</v>
      </c>
      <c r="K79" s="2" t="s">
        <v>756</v>
      </c>
      <c r="L79" s="2" t="s">
        <v>149</v>
      </c>
      <c r="M79" s="16" t="s">
        <v>179</v>
      </c>
      <c r="N79" s="2" t="s">
        <v>150</v>
      </c>
      <c r="O79" s="2" t="s">
        <v>113</v>
      </c>
      <c r="P79" s="2" t="s">
        <v>757</v>
      </c>
      <c r="Q79" s="2"/>
      <c r="R79" s="2"/>
      <c r="S79" s="2"/>
      <c r="T79" s="2"/>
      <c r="U79" s="4"/>
      <c r="V79" s="2"/>
    </row>
    <row r="80" customFormat="false" ht="57.45" hidden="false" customHeight="false" outlineLevel="0" collapsed="false">
      <c r="A80" s="2" t="s">
        <v>758</v>
      </c>
      <c r="B80" s="2" t="s">
        <v>153</v>
      </c>
      <c r="C80" s="2" t="s">
        <v>759</v>
      </c>
      <c r="D80" s="2" t="n">
        <v>7736600352</v>
      </c>
      <c r="E80" s="12" t="n">
        <f aca="false">INDEX(База!$E:$E,93)</f>
        <v>141</v>
      </c>
      <c r="F80" s="2" t="s">
        <v>104</v>
      </c>
      <c r="G80" s="2" t="s">
        <v>760</v>
      </c>
      <c r="H80" s="2" t="s">
        <v>761</v>
      </c>
      <c r="I80" s="2" t="s">
        <v>762</v>
      </c>
      <c r="J80" s="2" t="s">
        <v>763</v>
      </c>
      <c r="K80" s="2" t="s">
        <v>159</v>
      </c>
      <c r="L80" s="2" t="s">
        <v>160</v>
      </c>
      <c r="M80" s="17" t="s">
        <v>234</v>
      </c>
      <c r="N80" s="2" t="s">
        <v>161</v>
      </c>
      <c r="O80" s="2" t="s">
        <v>113</v>
      </c>
      <c r="P80" s="2" t="s">
        <v>764</v>
      </c>
      <c r="Q80" s="15" t="s">
        <v>765</v>
      </c>
      <c r="R80" s="2"/>
      <c r="S80" s="2"/>
      <c r="T80" s="2"/>
      <c r="U80" s="4"/>
      <c r="V80" s="2"/>
    </row>
    <row r="81" customFormat="false" ht="68.65" hidden="false" customHeight="false" outlineLevel="0" collapsed="false">
      <c r="A81" s="2" t="s">
        <v>766</v>
      </c>
      <c r="B81" s="2" t="s">
        <v>153</v>
      </c>
      <c r="C81" s="2" t="s">
        <v>767</v>
      </c>
      <c r="D81" s="2" t="n">
        <v>7707833088</v>
      </c>
      <c r="E81" s="12" t="n">
        <f aca="false">INDEX(База!$E:$E,94)</f>
        <v>138</v>
      </c>
      <c r="F81" s="2" t="s">
        <v>104</v>
      </c>
      <c r="G81" s="2" t="s">
        <v>768</v>
      </c>
      <c r="H81" s="2" t="s">
        <v>769</v>
      </c>
      <c r="I81" s="2" t="s">
        <v>770</v>
      </c>
      <c r="J81" s="2" t="s">
        <v>771</v>
      </c>
      <c r="K81" s="2" t="s">
        <v>159</v>
      </c>
      <c r="L81" s="2" t="s">
        <v>160</v>
      </c>
      <c r="M81" s="17" t="s">
        <v>234</v>
      </c>
      <c r="N81" s="2" t="s">
        <v>161</v>
      </c>
      <c r="O81" s="2" t="s">
        <v>139</v>
      </c>
      <c r="P81" s="2" t="s">
        <v>772</v>
      </c>
      <c r="Q81" s="2"/>
      <c r="R81" s="2"/>
      <c r="S81" s="2"/>
      <c r="T81" s="2"/>
      <c r="U81" s="4"/>
      <c r="V81" s="2"/>
    </row>
    <row r="82" customFormat="false" ht="79.85" hidden="false" customHeight="false" outlineLevel="0" collapsed="false">
      <c r="A82" s="2" t="s">
        <v>716</v>
      </c>
      <c r="B82" s="2" t="s">
        <v>473</v>
      </c>
      <c r="C82" s="2" t="s">
        <v>773</v>
      </c>
      <c r="D82" s="2" t="n">
        <v>7722466700</v>
      </c>
      <c r="E82" s="12" t="n">
        <f aca="false">INDEX(База!$E:$E,95)</f>
        <v>137</v>
      </c>
      <c r="F82" s="2" t="s">
        <v>104</v>
      </c>
      <c r="G82" s="2" t="s">
        <v>774</v>
      </c>
      <c r="H82" s="2" t="s">
        <v>775</v>
      </c>
      <c r="I82" s="2" t="s">
        <v>776</v>
      </c>
      <c r="J82" s="2" t="s">
        <v>777</v>
      </c>
      <c r="K82" s="2" t="s">
        <v>778</v>
      </c>
      <c r="L82" s="2" t="s">
        <v>779</v>
      </c>
      <c r="M82" s="18" t="s">
        <v>278</v>
      </c>
      <c r="N82" s="2" t="s">
        <v>780</v>
      </c>
      <c r="O82" s="2" t="s">
        <v>113</v>
      </c>
      <c r="P82" s="2" t="s">
        <v>781</v>
      </c>
      <c r="Q82" s="15" t="s">
        <v>782</v>
      </c>
      <c r="R82" s="2"/>
      <c r="S82" s="2"/>
      <c r="T82" s="2"/>
      <c r="U82" s="4"/>
      <c r="V82" s="2"/>
    </row>
    <row r="83" customFormat="false" ht="57.45" hidden="false" customHeight="false" outlineLevel="0" collapsed="false">
      <c r="A83" s="2" t="s">
        <v>783</v>
      </c>
      <c r="B83" s="2" t="s">
        <v>153</v>
      </c>
      <c r="C83" s="2" t="s">
        <v>784</v>
      </c>
      <c r="D83" s="2" t="n">
        <v>7715748140</v>
      </c>
      <c r="E83" s="12" t="n">
        <f aca="false">INDEX(База!$E:$E,96)</f>
        <v>130</v>
      </c>
      <c r="F83" s="2" t="s">
        <v>104</v>
      </c>
      <c r="G83" s="2" t="s">
        <v>785</v>
      </c>
      <c r="H83" s="2" t="s">
        <v>786</v>
      </c>
      <c r="I83" s="2" t="s">
        <v>787</v>
      </c>
      <c r="J83" s="2" t="s">
        <v>788</v>
      </c>
      <c r="K83" s="2" t="s">
        <v>159</v>
      </c>
      <c r="L83" s="2" t="s">
        <v>160</v>
      </c>
      <c r="M83" s="17" t="s">
        <v>234</v>
      </c>
      <c r="N83" s="2" t="s">
        <v>161</v>
      </c>
      <c r="O83" s="2" t="s">
        <v>139</v>
      </c>
      <c r="P83" s="2" t="s">
        <v>789</v>
      </c>
      <c r="Q83" s="2"/>
      <c r="R83" s="2"/>
      <c r="S83" s="2"/>
      <c r="T83" s="2"/>
      <c r="U83" s="4"/>
      <c r="V83" s="2"/>
    </row>
    <row r="84" customFormat="false" ht="57.45" hidden="false" customHeight="false" outlineLevel="0" collapsed="false">
      <c r="A84" s="2" t="s">
        <v>790</v>
      </c>
      <c r="B84" s="2" t="s">
        <v>102</v>
      </c>
      <c r="C84" s="2" t="s">
        <v>791</v>
      </c>
      <c r="D84" s="2" t="n">
        <v>7715943158</v>
      </c>
      <c r="E84" s="12" t="n">
        <f aca="false">INDEX(База!$E:$E,97)</f>
        <v>130</v>
      </c>
      <c r="F84" s="2" t="s">
        <v>104</v>
      </c>
      <c r="G84" s="2" t="s">
        <v>792</v>
      </c>
      <c r="H84" s="2" t="s">
        <v>793</v>
      </c>
      <c r="I84" s="2" t="s">
        <v>242</v>
      </c>
      <c r="J84" s="2" t="s">
        <v>311</v>
      </c>
      <c r="K84" s="2" t="s">
        <v>794</v>
      </c>
      <c r="L84" s="2" t="s">
        <v>110</v>
      </c>
      <c r="M84" s="13" t="s">
        <v>111</v>
      </c>
      <c r="N84" s="2" t="s">
        <v>112</v>
      </c>
      <c r="O84" s="2" t="s">
        <v>139</v>
      </c>
      <c r="P84" s="2" t="s">
        <v>795</v>
      </c>
      <c r="Q84" s="2"/>
      <c r="R84" s="2"/>
      <c r="S84" s="2"/>
      <c r="T84" s="2"/>
      <c r="U84" s="4"/>
      <c r="V84" s="2"/>
    </row>
    <row r="85" customFormat="false" ht="68.65" hidden="false" customHeight="false" outlineLevel="0" collapsed="false">
      <c r="A85" s="2" t="s">
        <v>796</v>
      </c>
      <c r="B85" s="2" t="s">
        <v>270</v>
      </c>
      <c r="C85" s="2" t="s">
        <v>797</v>
      </c>
      <c r="D85" s="2" t="n">
        <v>7701375152</v>
      </c>
      <c r="E85" s="12" t="n">
        <f aca="false">INDEX(База!$E:$E,98)</f>
        <v>122.5</v>
      </c>
      <c r="F85" s="2" t="s">
        <v>104</v>
      </c>
      <c r="G85" s="2" t="s">
        <v>798</v>
      </c>
      <c r="H85" s="2" t="s">
        <v>799</v>
      </c>
      <c r="I85" s="2" t="s">
        <v>800</v>
      </c>
      <c r="J85" s="2" t="s">
        <v>801</v>
      </c>
      <c r="K85" s="2" t="s">
        <v>802</v>
      </c>
      <c r="L85" s="2" t="s">
        <v>348</v>
      </c>
      <c r="M85" s="17" t="s">
        <v>234</v>
      </c>
      <c r="N85" s="2" t="s">
        <v>349</v>
      </c>
      <c r="O85" s="2" t="s">
        <v>139</v>
      </c>
      <c r="P85" s="2" t="s">
        <v>803</v>
      </c>
      <c r="Q85" s="15" t="s">
        <v>237</v>
      </c>
      <c r="R85" s="2"/>
      <c r="S85" s="2"/>
      <c r="T85" s="2"/>
      <c r="U85" s="4"/>
      <c r="V85" s="2"/>
    </row>
    <row r="86" customFormat="false" ht="35.05" hidden="false" customHeight="false" outlineLevel="0" collapsed="false">
      <c r="A86" s="2" t="s">
        <v>804</v>
      </c>
      <c r="B86" s="2" t="s">
        <v>153</v>
      </c>
      <c r="C86" s="2" t="s">
        <v>805</v>
      </c>
      <c r="D86" s="2" t="n">
        <v>9715397382</v>
      </c>
      <c r="E86" s="12" t="n">
        <f aca="false">INDEX(База!$E:$E,99)</f>
        <v>113</v>
      </c>
      <c r="F86" s="2" t="s">
        <v>104</v>
      </c>
      <c r="G86" s="2" t="s">
        <v>806</v>
      </c>
      <c r="H86" s="2" t="s">
        <v>807</v>
      </c>
      <c r="I86" s="2" t="s">
        <v>808</v>
      </c>
      <c r="J86" s="2" t="s">
        <v>809</v>
      </c>
      <c r="K86" s="2" t="s">
        <v>121</v>
      </c>
      <c r="L86" s="2" t="s">
        <v>160</v>
      </c>
      <c r="M86" s="17" t="s">
        <v>234</v>
      </c>
      <c r="N86" s="2" t="s">
        <v>161</v>
      </c>
      <c r="O86" s="14" t="s">
        <v>810</v>
      </c>
      <c r="P86" s="2"/>
      <c r="Q86" s="15" t="s">
        <v>123</v>
      </c>
      <c r="R86" s="2"/>
      <c r="S86" s="2"/>
      <c r="T86" s="2"/>
      <c r="U86" s="4"/>
      <c r="V86" s="2"/>
    </row>
    <row r="87" customFormat="false" ht="46.25" hidden="false" customHeight="false" outlineLevel="0" collapsed="false">
      <c r="A87" s="2" t="s">
        <v>811</v>
      </c>
      <c r="B87" s="2" t="s">
        <v>153</v>
      </c>
      <c r="C87" s="2" t="s">
        <v>812</v>
      </c>
      <c r="D87" s="2" t="n">
        <v>7804652217</v>
      </c>
      <c r="E87" s="12" t="n">
        <f aca="false">INDEX(База!$E:$E,100)</f>
        <v>113</v>
      </c>
      <c r="F87" s="2" t="s">
        <v>183</v>
      </c>
      <c r="G87" s="2" t="s">
        <v>813</v>
      </c>
      <c r="H87" s="2" t="s">
        <v>814</v>
      </c>
      <c r="I87" s="2" t="s">
        <v>815</v>
      </c>
      <c r="J87" s="2" t="s">
        <v>816</v>
      </c>
      <c r="K87" s="2" t="s">
        <v>159</v>
      </c>
      <c r="L87" s="2" t="s">
        <v>160</v>
      </c>
      <c r="M87" s="17" t="s">
        <v>234</v>
      </c>
      <c r="N87" s="2" t="s">
        <v>161</v>
      </c>
      <c r="O87" s="2" t="s">
        <v>139</v>
      </c>
      <c r="P87" s="2" t="s">
        <v>817</v>
      </c>
      <c r="Q87" s="2"/>
      <c r="R87" s="2"/>
      <c r="S87" s="2"/>
      <c r="T87" s="2"/>
      <c r="U87" s="4"/>
      <c r="V87" s="2"/>
    </row>
    <row r="88" customFormat="false" ht="57.45" hidden="false" customHeight="false" outlineLevel="0" collapsed="false">
      <c r="A88" s="2" t="s">
        <v>818</v>
      </c>
      <c r="B88" s="2" t="s">
        <v>153</v>
      </c>
      <c r="C88" s="2" t="s">
        <v>819</v>
      </c>
      <c r="D88" s="2" t="n">
        <v>7802534070</v>
      </c>
      <c r="E88" s="12" t="n">
        <f aca="false">INDEX(База!$E:$E,102)</f>
        <v>111</v>
      </c>
      <c r="F88" s="2" t="s">
        <v>183</v>
      </c>
      <c r="G88" s="2" t="s">
        <v>820</v>
      </c>
      <c r="H88" s="2" t="s">
        <v>821</v>
      </c>
      <c r="I88" s="2" t="s">
        <v>822</v>
      </c>
      <c r="J88" s="2" t="s">
        <v>823</v>
      </c>
      <c r="K88" s="2" t="s">
        <v>824</v>
      </c>
      <c r="L88" s="2" t="s">
        <v>160</v>
      </c>
      <c r="M88" s="17" t="s">
        <v>234</v>
      </c>
      <c r="N88" s="2" t="s">
        <v>161</v>
      </c>
      <c r="O88" s="2" t="s">
        <v>139</v>
      </c>
      <c r="P88" s="2" t="s">
        <v>825</v>
      </c>
      <c r="Q88" s="15" t="s">
        <v>237</v>
      </c>
      <c r="R88" s="2"/>
      <c r="S88" s="2"/>
      <c r="T88" s="2"/>
      <c r="U88" s="4"/>
      <c r="V88" s="2"/>
    </row>
    <row r="89" customFormat="false" ht="68.65" hidden="false" customHeight="false" outlineLevel="0" collapsed="false">
      <c r="A89" s="2" t="s">
        <v>826</v>
      </c>
      <c r="B89" s="2" t="s">
        <v>153</v>
      </c>
      <c r="C89" s="2" t="s">
        <v>827</v>
      </c>
      <c r="D89" s="2" t="n">
        <v>5405302721</v>
      </c>
      <c r="E89" s="12" t="n">
        <f aca="false">INDEX(База!$E:$E,103)</f>
        <v>108</v>
      </c>
      <c r="F89" s="2" t="s">
        <v>828</v>
      </c>
      <c r="G89" s="2" t="s">
        <v>829</v>
      </c>
      <c r="H89" s="2" t="s">
        <v>830</v>
      </c>
      <c r="I89" s="2" t="s">
        <v>831</v>
      </c>
      <c r="J89" s="2" t="s">
        <v>832</v>
      </c>
      <c r="K89" s="2" t="s">
        <v>833</v>
      </c>
      <c r="L89" s="2" t="s">
        <v>834</v>
      </c>
      <c r="M89" s="13" t="s">
        <v>111</v>
      </c>
      <c r="N89" s="2" t="s">
        <v>835</v>
      </c>
      <c r="O89" s="2" t="s">
        <v>113</v>
      </c>
      <c r="P89" s="2" t="s">
        <v>836</v>
      </c>
      <c r="Q89" s="15" t="s">
        <v>837</v>
      </c>
      <c r="R89" s="2"/>
      <c r="S89" s="2"/>
      <c r="T89" s="2"/>
      <c r="U89" s="4"/>
      <c r="V89" s="2"/>
    </row>
    <row r="90" customFormat="false" ht="57.45" hidden="false" customHeight="false" outlineLevel="0" collapsed="false">
      <c r="A90" s="2" t="s">
        <v>39</v>
      </c>
      <c r="B90" s="2" t="s">
        <v>153</v>
      </c>
      <c r="C90" s="2" t="s">
        <v>838</v>
      </c>
      <c r="D90" s="2" t="n">
        <v>9701033160</v>
      </c>
      <c r="E90" s="12" t="n">
        <f aca="false">INDEX(База!$E:$E,104)</f>
        <v>106</v>
      </c>
      <c r="F90" s="2" t="s">
        <v>104</v>
      </c>
      <c r="G90" s="2" t="s">
        <v>839</v>
      </c>
      <c r="H90" s="2" t="s">
        <v>840</v>
      </c>
      <c r="I90" s="2" t="s">
        <v>841</v>
      </c>
      <c r="J90" s="2" t="s">
        <v>842</v>
      </c>
      <c r="K90" s="2" t="s">
        <v>843</v>
      </c>
      <c r="L90" s="2" t="s">
        <v>160</v>
      </c>
      <c r="M90" s="17" t="s">
        <v>234</v>
      </c>
      <c r="N90" s="2" t="s">
        <v>161</v>
      </c>
      <c r="O90" s="2" t="s">
        <v>113</v>
      </c>
      <c r="P90" s="2" t="s">
        <v>844</v>
      </c>
      <c r="Q90" s="15" t="s">
        <v>237</v>
      </c>
      <c r="R90" s="2"/>
      <c r="S90" s="2"/>
      <c r="T90" s="2"/>
      <c r="U90" s="4"/>
      <c r="V90" s="2"/>
    </row>
    <row r="91" customFormat="false" ht="79.85" hidden="false" customHeight="false" outlineLevel="0" collapsed="false">
      <c r="A91" s="2" t="s">
        <v>845</v>
      </c>
      <c r="B91" s="2" t="s">
        <v>226</v>
      </c>
      <c r="C91" s="2" t="s">
        <v>846</v>
      </c>
      <c r="D91" s="2" t="n">
        <v>7735151538</v>
      </c>
      <c r="E91" s="12" t="n">
        <f aca="false">INDEX(База!$E:$E,106)</f>
        <v>104</v>
      </c>
      <c r="F91" s="2" t="s">
        <v>104</v>
      </c>
      <c r="G91" s="2" t="s">
        <v>847</v>
      </c>
      <c r="H91" s="2" t="s">
        <v>848</v>
      </c>
      <c r="I91" s="2" t="s">
        <v>849</v>
      </c>
      <c r="J91" s="2" t="s">
        <v>850</v>
      </c>
      <c r="K91" s="2" t="s">
        <v>851</v>
      </c>
      <c r="L91" s="2" t="s">
        <v>852</v>
      </c>
      <c r="M91" s="13" t="s">
        <v>111</v>
      </c>
      <c r="N91" s="2" t="s">
        <v>400</v>
      </c>
      <c r="O91" s="2" t="s">
        <v>113</v>
      </c>
      <c r="P91" s="2" t="s">
        <v>853</v>
      </c>
      <c r="Q91" s="2"/>
      <c r="R91" s="2"/>
      <c r="S91" s="2"/>
      <c r="T91" s="2"/>
      <c r="U91" s="4"/>
      <c r="V91" s="2"/>
    </row>
    <row r="92" customFormat="false" ht="68.65" hidden="false" customHeight="false" outlineLevel="0" collapsed="false">
      <c r="A92" s="2" t="s">
        <v>854</v>
      </c>
      <c r="B92" s="2" t="s">
        <v>153</v>
      </c>
      <c r="C92" s="2" t="s">
        <v>855</v>
      </c>
      <c r="D92" s="2" t="n">
        <v>6685164199</v>
      </c>
      <c r="E92" s="12" t="n">
        <f aca="false">INDEX(База!$E:$E,107)</f>
        <v>102</v>
      </c>
      <c r="F92" s="2" t="s">
        <v>434</v>
      </c>
      <c r="G92" s="2" t="s">
        <v>856</v>
      </c>
      <c r="H92" s="2" t="s">
        <v>857</v>
      </c>
      <c r="I92" s="2" t="s">
        <v>858</v>
      </c>
      <c r="J92" s="2" t="s">
        <v>859</v>
      </c>
      <c r="K92" s="2" t="s">
        <v>860</v>
      </c>
      <c r="L92" s="2" t="s">
        <v>160</v>
      </c>
      <c r="M92" s="13" t="s">
        <v>111</v>
      </c>
      <c r="N92" s="2" t="s">
        <v>161</v>
      </c>
      <c r="O92" s="2" t="s">
        <v>113</v>
      </c>
      <c r="P92" s="2" t="s">
        <v>861</v>
      </c>
      <c r="Q92" s="2"/>
      <c r="R92" s="2"/>
      <c r="S92" s="2"/>
      <c r="T92" s="2"/>
      <c r="U92" s="4"/>
      <c r="V92" s="2"/>
    </row>
    <row r="93" customFormat="false" ht="68.65" hidden="false" customHeight="false" outlineLevel="0" collapsed="false">
      <c r="A93" s="2" t="s">
        <v>862</v>
      </c>
      <c r="B93" s="2" t="s">
        <v>153</v>
      </c>
      <c r="C93" s="2" t="s">
        <v>863</v>
      </c>
      <c r="D93" s="2" t="n">
        <v>7717716792</v>
      </c>
      <c r="E93" s="12" t="n">
        <f aca="false">INDEX(База!$E:$E,108)</f>
        <v>98</v>
      </c>
      <c r="F93" s="2" t="s">
        <v>104</v>
      </c>
      <c r="G93" s="2" t="s">
        <v>864</v>
      </c>
      <c r="H93" s="2" t="s">
        <v>865</v>
      </c>
      <c r="I93" s="2" t="s">
        <v>866</v>
      </c>
      <c r="J93" s="2" t="s">
        <v>867</v>
      </c>
      <c r="K93" s="2" t="s">
        <v>177</v>
      </c>
      <c r="L93" s="2" t="s">
        <v>160</v>
      </c>
      <c r="M93" s="13" t="s">
        <v>111</v>
      </c>
      <c r="N93" s="2" t="s">
        <v>161</v>
      </c>
      <c r="O93" s="2" t="s">
        <v>113</v>
      </c>
      <c r="P93" s="2" t="s">
        <v>868</v>
      </c>
      <c r="Q93" s="2"/>
      <c r="R93" s="2"/>
      <c r="S93" s="2"/>
      <c r="T93" s="2"/>
      <c r="U93" s="4"/>
      <c r="V93" s="2"/>
    </row>
    <row r="94" customFormat="false" ht="57.45" hidden="false" customHeight="false" outlineLevel="0" collapsed="false">
      <c r="A94" s="2" t="s">
        <v>869</v>
      </c>
      <c r="B94" s="2" t="s">
        <v>226</v>
      </c>
      <c r="C94" s="2" t="s">
        <v>870</v>
      </c>
      <c r="D94" s="2" t="n">
        <v>7841481440</v>
      </c>
      <c r="E94" s="12" t="n">
        <f aca="false">INDEX(База!$E:$E,109)</f>
        <v>97</v>
      </c>
      <c r="F94" s="2" t="s">
        <v>183</v>
      </c>
      <c r="G94" s="2" t="s">
        <v>871</v>
      </c>
      <c r="H94" s="2" t="s">
        <v>872</v>
      </c>
      <c r="I94" s="2" t="s">
        <v>873</v>
      </c>
      <c r="J94" s="2" t="s">
        <v>874</v>
      </c>
      <c r="K94" s="2" t="s">
        <v>875</v>
      </c>
      <c r="L94" s="2" t="s">
        <v>233</v>
      </c>
      <c r="M94" s="17" t="s">
        <v>234</v>
      </c>
      <c r="N94" s="2" t="s">
        <v>876</v>
      </c>
      <c r="O94" s="2" t="s">
        <v>139</v>
      </c>
      <c r="P94" s="2" t="s">
        <v>877</v>
      </c>
      <c r="Q94" s="15" t="s">
        <v>237</v>
      </c>
      <c r="R94" s="2"/>
      <c r="S94" s="2"/>
      <c r="T94" s="2"/>
      <c r="U94" s="4"/>
      <c r="V94" s="2"/>
    </row>
    <row r="95" customFormat="false" ht="68.65" hidden="false" customHeight="false" outlineLevel="0" collapsed="false">
      <c r="A95" s="2" t="s">
        <v>878</v>
      </c>
      <c r="B95" s="2" t="s">
        <v>315</v>
      </c>
      <c r="C95" s="2" t="s">
        <v>879</v>
      </c>
      <c r="D95" s="2" t="n">
        <v>9722044395</v>
      </c>
      <c r="E95" s="12" t="n">
        <f aca="false">INDEX(База!$E:$E,110)</f>
        <v>95</v>
      </c>
      <c r="F95" s="2" t="s">
        <v>104</v>
      </c>
      <c r="G95" s="2" t="s">
        <v>880</v>
      </c>
      <c r="H95" s="2" t="s">
        <v>881</v>
      </c>
      <c r="I95" s="2" t="s">
        <v>882</v>
      </c>
      <c r="J95" s="2" t="s">
        <v>883</v>
      </c>
      <c r="K95" s="2" t="s">
        <v>884</v>
      </c>
      <c r="L95" s="2" t="s">
        <v>358</v>
      </c>
      <c r="M95" s="18" t="s">
        <v>278</v>
      </c>
      <c r="N95" s="2" t="s">
        <v>885</v>
      </c>
      <c r="O95" s="2" t="s">
        <v>113</v>
      </c>
      <c r="P95" s="2" t="s">
        <v>886</v>
      </c>
      <c r="Q95" s="2"/>
      <c r="R95" s="2"/>
      <c r="S95" s="2"/>
      <c r="T95" s="2"/>
      <c r="U95" s="4"/>
      <c r="V95" s="2"/>
    </row>
    <row r="96" customFormat="false" ht="68.65" hidden="false" customHeight="false" outlineLevel="0" collapsed="false">
      <c r="A96" s="2" t="s">
        <v>887</v>
      </c>
      <c r="B96" s="2" t="s">
        <v>142</v>
      </c>
      <c r="C96" s="2" t="s">
        <v>888</v>
      </c>
      <c r="D96" s="2" t="n">
        <v>7813380859</v>
      </c>
      <c r="E96" s="12" t="n">
        <f aca="false">INDEX(База!$E:$E,111)</f>
        <v>94</v>
      </c>
      <c r="F96" s="2" t="s">
        <v>183</v>
      </c>
      <c r="G96" s="2" t="s">
        <v>889</v>
      </c>
      <c r="H96" s="2" t="s">
        <v>890</v>
      </c>
      <c r="I96" s="2" t="s">
        <v>242</v>
      </c>
      <c r="J96" s="2" t="s">
        <v>891</v>
      </c>
      <c r="K96" s="2" t="s">
        <v>177</v>
      </c>
      <c r="L96" s="2" t="s">
        <v>149</v>
      </c>
      <c r="M96" s="16" t="s">
        <v>179</v>
      </c>
      <c r="N96" s="2" t="s">
        <v>150</v>
      </c>
      <c r="O96" s="2" t="s">
        <v>139</v>
      </c>
      <c r="P96" s="2" t="s">
        <v>892</v>
      </c>
      <c r="Q96" s="2"/>
      <c r="R96" s="2"/>
      <c r="S96" s="2"/>
      <c r="T96" s="2"/>
      <c r="U96" s="4"/>
      <c r="V96" s="2"/>
    </row>
    <row r="97" customFormat="false" ht="57.45" hidden="false" customHeight="false" outlineLevel="0" collapsed="false">
      <c r="A97" s="2" t="s">
        <v>893</v>
      </c>
      <c r="B97" s="2" t="s">
        <v>315</v>
      </c>
      <c r="C97" s="2" t="s">
        <v>894</v>
      </c>
      <c r="D97" s="2" t="n">
        <v>7840101254</v>
      </c>
      <c r="E97" s="12" t="n">
        <f aca="false">INDEX(База!$E:$E,112)</f>
        <v>88</v>
      </c>
      <c r="F97" s="2" t="s">
        <v>183</v>
      </c>
      <c r="G97" s="2" t="s">
        <v>895</v>
      </c>
      <c r="H97" s="2" t="s">
        <v>896</v>
      </c>
      <c r="I97" s="2" t="s">
        <v>897</v>
      </c>
      <c r="J97" s="2" t="s">
        <v>898</v>
      </c>
      <c r="K97" s="2" t="s">
        <v>899</v>
      </c>
      <c r="L97" s="2" t="s">
        <v>358</v>
      </c>
      <c r="M97" s="18" t="s">
        <v>278</v>
      </c>
      <c r="N97" s="2" t="s">
        <v>900</v>
      </c>
      <c r="O97" s="2" t="s">
        <v>113</v>
      </c>
      <c r="P97" s="2" t="s">
        <v>901</v>
      </c>
      <c r="Q97" s="2"/>
      <c r="R97" s="2"/>
      <c r="S97" s="2"/>
      <c r="T97" s="2"/>
      <c r="U97" s="4"/>
      <c r="V97" s="2"/>
    </row>
    <row r="98" customFormat="false" ht="79.85" hidden="false" customHeight="false" outlineLevel="0" collapsed="false">
      <c r="A98" s="2" t="s">
        <v>902</v>
      </c>
      <c r="B98" s="2" t="s">
        <v>153</v>
      </c>
      <c r="C98" s="2" t="s">
        <v>903</v>
      </c>
      <c r="D98" s="2" t="n">
        <v>7839346059</v>
      </c>
      <c r="E98" s="12" t="n">
        <f aca="false">INDEX(База!$E:$E,113)</f>
        <v>88</v>
      </c>
      <c r="F98" s="2" t="s">
        <v>183</v>
      </c>
      <c r="G98" s="2" t="s">
        <v>904</v>
      </c>
      <c r="H98" s="2" t="s">
        <v>905</v>
      </c>
      <c r="I98" s="2" t="s">
        <v>242</v>
      </c>
      <c r="J98" s="2" t="s">
        <v>906</v>
      </c>
      <c r="K98" s="2" t="s">
        <v>177</v>
      </c>
      <c r="L98" s="2" t="s">
        <v>160</v>
      </c>
      <c r="M98" s="13" t="s">
        <v>111</v>
      </c>
      <c r="N98" s="2" t="s">
        <v>161</v>
      </c>
      <c r="O98" s="2" t="s">
        <v>113</v>
      </c>
      <c r="P98" s="2" t="s">
        <v>907</v>
      </c>
      <c r="Q98" s="2"/>
      <c r="R98" s="2"/>
      <c r="S98" s="2"/>
      <c r="T98" s="2"/>
      <c r="U98" s="4"/>
      <c r="V98" s="2"/>
    </row>
    <row r="99" customFormat="false" ht="68.65" hidden="false" customHeight="false" outlineLevel="0" collapsed="false">
      <c r="A99" s="2" t="s">
        <v>908</v>
      </c>
      <c r="B99" s="2" t="s">
        <v>142</v>
      </c>
      <c r="C99" s="2" t="s">
        <v>909</v>
      </c>
      <c r="D99" s="2" t="n">
        <v>7724850622</v>
      </c>
      <c r="E99" s="12" t="n">
        <f aca="false">INDEX(База!$E:$E,114)</f>
        <v>85</v>
      </c>
      <c r="F99" s="2" t="s">
        <v>104</v>
      </c>
      <c r="G99" s="2" t="s">
        <v>910</v>
      </c>
      <c r="H99" s="2" t="s">
        <v>911</v>
      </c>
      <c r="I99" s="2" t="s">
        <v>242</v>
      </c>
      <c r="J99" s="2" t="s">
        <v>912</v>
      </c>
      <c r="K99" s="2" t="s">
        <v>177</v>
      </c>
      <c r="L99" s="2" t="s">
        <v>149</v>
      </c>
      <c r="M99" s="16" t="s">
        <v>179</v>
      </c>
      <c r="N99" s="2" t="s">
        <v>150</v>
      </c>
      <c r="O99" s="2" t="s">
        <v>113</v>
      </c>
      <c r="P99" s="2" t="s">
        <v>913</v>
      </c>
      <c r="Q99" s="2"/>
      <c r="R99" s="2"/>
      <c r="S99" s="2"/>
      <c r="T99" s="2"/>
      <c r="U99" s="4"/>
      <c r="V99" s="2"/>
    </row>
    <row r="100" customFormat="false" ht="79.85" hidden="false" customHeight="false" outlineLevel="0" collapsed="false">
      <c r="A100" s="2" t="s">
        <v>914</v>
      </c>
      <c r="B100" s="2" t="s">
        <v>153</v>
      </c>
      <c r="C100" s="2" t="s">
        <v>915</v>
      </c>
      <c r="D100" s="2" t="n">
        <v>7743902996</v>
      </c>
      <c r="E100" s="12" t="n">
        <f aca="false">INDEX(База!$E:$E,115)</f>
        <v>82</v>
      </c>
      <c r="F100" s="2" t="s">
        <v>104</v>
      </c>
      <c r="G100" s="2" t="s">
        <v>916</v>
      </c>
      <c r="H100" s="2" t="s">
        <v>917</v>
      </c>
      <c r="I100" s="2" t="s">
        <v>918</v>
      </c>
      <c r="J100" s="2" t="s">
        <v>311</v>
      </c>
      <c r="K100" s="2" t="s">
        <v>919</v>
      </c>
      <c r="L100" s="2" t="s">
        <v>160</v>
      </c>
      <c r="M100" s="13" t="s">
        <v>111</v>
      </c>
      <c r="N100" s="2" t="s">
        <v>161</v>
      </c>
      <c r="O100" s="2" t="s">
        <v>139</v>
      </c>
      <c r="P100" s="2" t="s">
        <v>920</v>
      </c>
      <c r="Q100" s="2"/>
      <c r="R100" s="2"/>
      <c r="S100" s="2"/>
      <c r="T100" s="2"/>
      <c r="U100" s="4"/>
      <c r="V100" s="2"/>
    </row>
    <row r="101" customFormat="false" ht="46.25" hidden="false" customHeight="false" outlineLevel="0" collapsed="false">
      <c r="A101" s="2" t="s">
        <v>921</v>
      </c>
      <c r="B101" s="2" t="s">
        <v>315</v>
      </c>
      <c r="C101" s="2" t="s">
        <v>922</v>
      </c>
      <c r="D101" s="2" t="n">
        <v>6678097382</v>
      </c>
      <c r="E101" s="12" t="n">
        <f aca="false">INDEX(База!$E:$E,116)</f>
        <v>78</v>
      </c>
      <c r="F101" s="2" t="s">
        <v>434</v>
      </c>
      <c r="G101" s="2" t="s">
        <v>923</v>
      </c>
      <c r="H101" s="2" t="s">
        <v>924</v>
      </c>
      <c r="I101" s="2" t="s">
        <v>925</v>
      </c>
      <c r="J101" s="2" t="s">
        <v>926</v>
      </c>
      <c r="K101" s="2" t="s">
        <v>927</v>
      </c>
      <c r="L101" s="2" t="s">
        <v>358</v>
      </c>
      <c r="M101" s="18" t="s">
        <v>278</v>
      </c>
      <c r="N101" s="2" t="s">
        <v>323</v>
      </c>
      <c r="O101" s="2" t="s">
        <v>139</v>
      </c>
      <c r="P101" s="2" t="s">
        <v>928</v>
      </c>
      <c r="Q101" s="15" t="s">
        <v>237</v>
      </c>
      <c r="R101" s="2"/>
      <c r="S101" s="2"/>
      <c r="T101" s="2"/>
      <c r="U101" s="4"/>
      <c r="V101" s="2"/>
    </row>
    <row r="102" customFormat="false" ht="68.65" hidden="false" customHeight="false" outlineLevel="0" collapsed="false">
      <c r="A102" s="2" t="s">
        <v>929</v>
      </c>
      <c r="B102" s="2" t="s">
        <v>102</v>
      </c>
      <c r="C102" s="2" t="s">
        <v>930</v>
      </c>
      <c r="D102" s="2" t="n">
        <v>5044115093</v>
      </c>
      <c r="E102" s="12" t="n">
        <f aca="false">INDEX(База!$E:$E,117)</f>
        <v>73</v>
      </c>
      <c r="F102" s="2" t="s">
        <v>471</v>
      </c>
      <c r="G102" s="2" t="s">
        <v>200</v>
      </c>
      <c r="H102" s="2" t="s">
        <v>118</v>
      </c>
      <c r="I102" s="2" t="s">
        <v>119</v>
      </c>
      <c r="J102" s="2" t="s">
        <v>120</v>
      </c>
      <c r="K102" s="2" t="s">
        <v>121</v>
      </c>
      <c r="L102" s="2" t="s">
        <v>110</v>
      </c>
      <c r="M102" s="13" t="s">
        <v>111</v>
      </c>
      <c r="N102" s="2" t="s">
        <v>112</v>
      </c>
      <c r="O102" s="14" t="s">
        <v>931</v>
      </c>
      <c r="P102" s="2"/>
      <c r="Q102" s="15" t="s">
        <v>123</v>
      </c>
      <c r="R102" s="2"/>
      <c r="S102" s="2"/>
      <c r="T102" s="2"/>
      <c r="U102" s="4"/>
      <c r="V102" s="2"/>
    </row>
    <row r="103" customFormat="false" ht="68.65" hidden="false" customHeight="false" outlineLevel="0" collapsed="false">
      <c r="A103" s="2" t="s">
        <v>932</v>
      </c>
      <c r="B103" s="2" t="s">
        <v>153</v>
      </c>
      <c r="C103" s="2" t="s">
        <v>933</v>
      </c>
      <c r="D103" s="2" t="n">
        <v>5902869983</v>
      </c>
      <c r="E103" s="12" t="n">
        <f aca="false">INDEX(База!$E:$E,118)</f>
        <v>73</v>
      </c>
      <c r="F103" s="2" t="s">
        <v>934</v>
      </c>
      <c r="G103" s="2" t="s">
        <v>935</v>
      </c>
      <c r="H103" s="2" t="s">
        <v>936</v>
      </c>
      <c r="I103" s="2" t="s">
        <v>937</v>
      </c>
      <c r="J103" s="2" t="s">
        <v>938</v>
      </c>
      <c r="K103" s="2" t="s">
        <v>939</v>
      </c>
      <c r="L103" s="2" t="s">
        <v>160</v>
      </c>
      <c r="M103" s="13" t="s">
        <v>111</v>
      </c>
      <c r="N103" s="2" t="s">
        <v>161</v>
      </c>
      <c r="O103" s="2" t="s">
        <v>113</v>
      </c>
      <c r="P103" s="2" t="s">
        <v>940</v>
      </c>
      <c r="Q103" s="2"/>
      <c r="R103" s="2"/>
      <c r="S103" s="2"/>
      <c r="T103" s="2"/>
      <c r="U103" s="4"/>
      <c r="V103" s="2"/>
    </row>
    <row r="104" customFormat="false" ht="68.65" hidden="false" customHeight="false" outlineLevel="0" collapsed="false">
      <c r="A104" s="2" t="s">
        <v>941</v>
      </c>
      <c r="B104" s="2" t="s">
        <v>142</v>
      </c>
      <c r="C104" s="2" t="s">
        <v>942</v>
      </c>
      <c r="D104" s="2" t="n">
        <v>7715981403</v>
      </c>
      <c r="E104" s="12" t="n">
        <f aca="false">INDEX(База!$E:$E,119)</f>
        <v>71</v>
      </c>
      <c r="F104" s="2" t="s">
        <v>104</v>
      </c>
      <c r="G104" s="2" t="s">
        <v>943</v>
      </c>
      <c r="H104" s="2" t="s">
        <v>944</v>
      </c>
      <c r="I104" s="2" t="s">
        <v>945</v>
      </c>
      <c r="J104" s="2" t="s">
        <v>946</v>
      </c>
      <c r="K104" s="2" t="s">
        <v>947</v>
      </c>
      <c r="L104" s="2" t="s">
        <v>948</v>
      </c>
      <c r="M104" s="18" t="s">
        <v>278</v>
      </c>
      <c r="N104" s="2" t="s">
        <v>949</v>
      </c>
      <c r="O104" s="2" t="s">
        <v>113</v>
      </c>
      <c r="P104" s="2" t="s">
        <v>950</v>
      </c>
      <c r="Q104" s="15" t="s">
        <v>951</v>
      </c>
      <c r="R104" s="2"/>
      <c r="S104" s="2"/>
      <c r="T104" s="2"/>
      <c r="U104" s="4"/>
      <c r="V104" s="2"/>
    </row>
    <row r="105" customFormat="false" ht="57.45" hidden="false" customHeight="false" outlineLevel="0" collapsed="false">
      <c r="A105" s="2" t="s">
        <v>952</v>
      </c>
      <c r="B105" s="2" t="s">
        <v>315</v>
      </c>
      <c r="C105" s="2" t="s">
        <v>953</v>
      </c>
      <c r="D105" s="2" t="n">
        <v>6658363893</v>
      </c>
      <c r="E105" s="12" t="n">
        <f aca="false">INDEX(База!$E:$E,120)</f>
        <v>71</v>
      </c>
      <c r="F105" s="2" t="s">
        <v>434</v>
      </c>
      <c r="G105" s="2" t="s">
        <v>954</v>
      </c>
      <c r="H105" s="2" t="s">
        <v>955</v>
      </c>
      <c r="I105" s="2" t="s">
        <v>956</v>
      </c>
      <c r="J105" s="2" t="s">
        <v>957</v>
      </c>
      <c r="K105" s="2" t="s">
        <v>958</v>
      </c>
      <c r="L105" s="2" t="s">
        <v>358</v>
      </c>
      <c r="M105" s="18" t="s">
        <v>278</v>
      </c>
      <c r="N105" s="2" t="s">
        <v>959</v>
      </c>
      <c r="O105" s="2" t="s">
        <v>113</v>
      </c>
      <c r="P105" s="2" t="s">
        <v>960</v>
      </c>
      <c r="Q105" s="15" t="s">
        <v>961</v>
      </c>
      <c r="R105" s="2"/>
      <c r="S105" s="2"/>
      <c r="T105" s="2"/>
      <c r="U105" s="4"/>
      <c r="V105" s="2"/>
    </row>
    <row r="106" customFormat="false" ht="57.45" hidden="false" customHeight="false" outlineLevel="0" collapsed="false">
      <c r="A106" s="2" t="s">
        <v>962</v>
      </c>
      <c r="B106" s="2" t="s">
        <v>226</v>
      </c>
      <c r="C106" s="2" t="s">
        <v>963</v>
      </c>
      <c r="D106" s="2" t="n">
        <v>9715388846</v>
      </c>
      <c r="E106" s="12" t="n">
        <f aca="false">INDEX(База!$E:$E,121)</f>
        <v>70</v>
      </c>
      <c r="F106" s="2" t="s">
        <v>104</v>
      </c>
      <c r="G106" s="2" t="s">
        <v>964</v>
      </c>
      <c r="H106" s="2" t="s">
        <v>965</v>
      </c>
      <c r="I106" s="2" t="s">
        <v>966</v>
      </c>
      <c r="J106" s="2" t="s">
        <v>967</v>
      </c>
      <c r="K106" s="2" t="s">
        <v>177</v>
      </c>
      <c r="L106" s="2" t="s">
        <v>303</v>
      </c>
      <c r="M106" s="16" t="s">
        <v>179</v>
      </c>
      <c r="N106" s="2" t="s">
        <v>400</v>
      </c>
      <c r="O106" s="2" t="s">
        <v>113</v>
      </c>
      <c r="P106" s="2" t="s">
        <v>968</v>
      </c>
      <c r="Q106" s="2"/>
      <c r="R106" s="2"/>
      <c r="S106" s="2"/>
      <c r="T106" s="2"/>
      <c r="U106" s="4"/>
      <c r="V106" s="2"/>
    </row>
    <row r="107" customFormat="false" ht="46.25" hidden="false" customHeight="false" outlineLevel="0" collapsed="false">
      <c r="A107" s="2" t="s">
        <v>969</v>
      </c>
      <c r="B107" s="2" t="s">
        <v>153</v>
      </c>
      <c r="C107" s="2" t="s">
        <v>970</v>
      </c>
      <c r="D107" s="2" t="n">
        <v>9715309001</v>
      </c>
      <c r="E107" s="12" t="n">
        <f aca="false">INDEX(База!$E:$E,122)</f>
        <v>70</v>
      </c>
      <c r="F107" s="2" t="s">
        <v>104</v>
      </c>
      <c r="G107" s="2" t="s">
        <v>806</v>
      </c>
      <c r="H107" s="2" t="s">
        <v>807</v>
      </c>
      <c r="I107" s="2" t="s">
        <v>808</v>
      </c>
      <c r="J107" s="2" t="s">
        <v>809</v>
      </c>
      <c r="K107" s="2" t="s">
        <v>121</v>
      </c>
      <c r="L107" s="2" t="s">
        <v>160</v>
      </c>
      <c r="M107" s="13" t="s">
        <v>111</v>
      </c>
      <c r="N107" s="2" t="s">
        <v>161</v>
      </c>
      <c r="O107" s="14" t="s">
        <v>971</v>
      </c>
      <c r="P107" s="2"/>
      <c r="Q107" s="15" t="s">
        <v>123</v>
      </c>
      <c r="R107" s="2"/>
      <c r="S107" s="2"/>
      <c r="T107" s="2"/>
      <c r="U107" s="4"/>
      <c r="V107" s="2"/>
    </row>
    <row r="108" customFormat="false" ht="79.85" hidden="false" customHeight="false" outlineLevel="0" collapsed="false">
      <c r="A108" s="2" t="s">
        <v>972</v>
      </c>
      <c r="B108" s="2" t="s">
        <v>535</v>
      </c>
      <c r="C108" s="2" t="s">
        <v>973</v>
      </c>
      <c r="D108" s="2" t="n">
        <v>7708631849</v>
      </c>
      <c r="E108" s="12" t="n">
        <f aca="false">INDEX(База!$E:$E,123)</f>
        <v>66</v>
      </c>
      <c r="F108" s="2" t="s">
        <v>104</v>
      </c>
      <c r="G108" s="2" t="s">
        <v>974</v>
      </c>
      <c r="H108" s="2" t="s">
        <v>975</v>
      </c>
      <c r="I108" s="2" t="s">
        <v>242</v>
      </c>
      <c r="J108" s="2" t="s">
        <v>311</v>
      </c>
      <c r="K108" s="2" t="s">
        <v>976</v>
      </c>
      <c r="L108" s="2" t="s">
        <v>303</v>
      </c>
      <c r="M108" s="16" t="s">
        <v>179</v>
      </c>
      <c r="N108" s="2" t="s">
        <v>304</v>
      </c>
      <c r="O108" s="2" t="s">
        <v>139</v>
      </c>
      <c r="P108" s="2" t="s">
        <v>977</v>
      </c>
      <c r="Q108" s="2"/>
      <c r="R108" s="2"/>
      <c r="S108" s="2"/>
      <c r="T108" s="2"/>
      <c r="U108" s="4"/>
      <c r="V108" s="2"/>
    </row>
    <row r="109" customFormat="false" ht="91" hidden="false" customHeight="false" outlineLevel="0" collapsed="false">
      <c r="A109" s="2" t="s">
        <v>978</v>
      </c>
      <c r="B109" s="2" t="s">
        <v>153</v>
      </c>
      <c r="C109" s="2" t="s">
        <v>979</v>
      </c>
      <c r="D109" s="2" t="n">
        <v>1655320998</v>
      </c>
      <c r="E109" s="12" t="n">
        <f aca="false">INDEX(База!$E:$E,124)</f>
        <v>66</v>
      </c>
      <c r="F109" s="2" t="s">
        <v>574</v>
      </c>
      <c r="G109" s="2" t="s">
        <v>980</v>
      </c>
      <c r="H109" s="2" t="s">
        <v>981</v>
      </c>
      <c r="I109" s="2" t="s">
        <v>982</v>
      </c>
      <c r="J109" s="2" t="s">
        <v>983</v>
      </c>
      <c r="K109" s="2" t="s">
        <v>984</v>
      </c>
      <c r="L109" s="2" t="s">
        <v>160</v>
      </c>
      <c r="M109" s="13" t="s">
        <v>111</v>
      </c>
      <c r="N109" s="2" t="s">
        <v>161</v>
      </c>
      <c r="O109" s="2" t="s">
        <v>113</v>
      </c>
      <c r="P109" s="2" t="s">
        <v>985</v>
      </c>
      <c r="Q109" s="2"/>
      <c r="R109" s="2"/>
      <c r="S109" s="2"/>
      <c r="T109" s="2"/>
      <c r="U109" s="4"/>
      <c r="V109" s="2"/>
    </row>
    <row r="110" customFormat="false" ht="79.85" hidden="false" customHeight="false" outlineLevel="0" collapsed="false">
      <c r="A110" s="2" t="s">
        <v>986</v>
      </c>
      <c r="B110" s="2" t="s">
        <v>371</v>
      </c>
      <c r="C110" s="2" t="s">
        <v>987</v>
      </c>
      <c r="D110" s="2" t="n">
        <v>7704824984</v>
      </c>
      <c r="E110" s="12" t="n">
        <f aca="false">INDEX(База!$E:$E,125)</f>
        <v>61</v>
      </c>
      <c r="F110" s="2" t="s">
        <v>104</v>
      </c>
      <c r="G110" s="2" t="s">
        <v>988</v>
      </c>
      <c r="H110" s="2" t="s">
        <v>989</v>
      </c>
      <c r="I110" s="2" t="s">
        <v>990</v>
      </c>
      <c r="J110" s="2" t="s">
        <v>991</v>
      </c>
      <c r="K110" s="2" t="s">
        <v>177</v>
      </c>
      <c r="L110" s="2" t="s">
        <v>377</v>
      </c>
      <c r="M110" s="13" t="s">
        <v>111</v>
      </c>
      <c r="N110" s="2" t="s">
        <v>378</v>
      </c>
      <c r="O110" s="2" t="s">
        <v>113</v>
      </c>
      <c r="P110" s="2" t="s">
        <v>992</v>
      </c>
      <c r="Q110" s="2"/>
      <c r="R110" s="2"/>
      <c r="S110" s="2"/>
      <c r="T110" s="2"/>
      <c r="U110" s="4"/>
      <c r="V110" s="2"/>
    </row>
    <row r="111" customFormat="false" ht="68.65" hidden="false" customHeight="false" outlineLevel="0" collapsed="false">
      <c r="A111" s="2" t="s">
        <v>63</v>
      </c>
      <c r="B111" s="2" t="s">
        <v>473</v>
      </c>
      <c r="C111" s="2" t="s">
        <v>993</v>
      </c>
      <c r="D111" s="2" t="n">
        <v>7714916680</v>
      </c>
      <c r="E111" s="12" t="n">
        <f aca="false">INDEX(База!$E:$E,126)</f>
        <v>54</v>
      </c>
      <c r="F111" s="2" t="s">
        <v>104</v>
      </c>
      <c r="G111" s="2" t="s">
        <v>994</v>
      </c>
      <c r="H111" s="2" t="s">
        <v>995</v>
      </c>
      <c r="I111" s="2" t="s">
        <v>996</v>
      </c>
      <c r="J111" s="2" t="s">
        <v>997</v>
      </c>
      <c r="K111" s="2" t="s">
        <v>177</v>
      </c>
      <c r="L111" s="2" t="s">
        <v>998</v>
      </c>
      <c r="M111" s="13" t="s">
        <v>111</v>
      </c>
      <c r="N111" s="2" t="s">
        <v>999</v>
      </c>
      <c r="O111" s="2" t="s">
        <v>113</v>
      </c>
      <c r="P111" s="2" t="s">
        <v>1000</v>
      </c>
      <c r="Q111" s="15" t="s">
        <v>1001</v>
      </c>
      <c r="R111" s="2"/>
      <c r="S111" s="2"/>
      <c r="T111" s="2"/>
      <c r="U111" s="4"/>
      <c r="V111" s="2"/>
    </row>
    <row r="112" customFormat="false" ht="68.65" hidden="false" customHeight="false" outlineLevel="0" collapsed="false">
      <c r="A112" s="2" t="s">
        <v>1002</v>
      </c>
      <c r="B112" s="2" t="s">
        <v>153</v>
      </c>
      <c r="C112" s="2" t="s">
        <v>1003</v>
      </c>
      <c r="D112" s="2" t="n">
        <v>7724812112</v>
      </c>
      <c r="E112" s="12" t="n">
        <f aca="false">INDEX(База!$E:$E,127)</f>
        <v>53</v>
      </c>
      <c r="F112" s="2" t="s">
        <v>104</v>
      </c>
      <c r="G112" s="2" t="s">
        <v>1004</v>
      </c>
      <c r="H112" s="2" t="s">
        <v>1005</v>
      </c>
      <c r="I112" s="2" t="s">
        <v>242</v>
      </c>
      <c r="J112" s="2" t="s">
        <v>1006</v>
      </c>
      <c r="K112" s="2" t="s">
        <v>1007</v>
      </c>
      <c r="L112" s="2" t="s">
        <v>303</v>
      </c>
      <c r="M112" s="16" t="s">
        <v>179</v>
      </c>
      <c r="N112" s="2" t="s">
        <v>161</v>
      </c>
      <c r="O112" s="2" t="s">
        <v>139</v>
      </c>
      <c r="P112" s="2" t="s">
        <v>1008</v>
      </c>
      <c r="Q112" s="2"/>
      <c r="R112" s="2"/>
      <c r="S112" s="2"/>
      <c r="T112" s="2"/>
      <c r="U112" s="4"/>
      <c r="V112" s="2"/>
    </row>
    <row r="113" customFormat="false" ht="79.85" hidden="false" customHeight="false" outlineLevel="0" collapsed="false">
      <c r="A113" s="2" t="s">
        <v>1009</v>
      </c>
      <c r="B113" s="2" t="s">
        <v>153</v>
      </c>
      <c r="C113" s="2" t="s">
        <v>1010</v>
      </c>
      <c r="D113" s="2" t="n">
        <v>6166088096</v>
      </c>
      <c r="E113" s="12" t="n">
        <f aca="false">INDEX(База!$E:$E,128)</f>
        <v>52</v>
      </c>
      <c r="F113" s="2" t="s">
        <v>743</v>
      </c>
      <c r="G113" s="2" t="s">
        <v>1011</v>
      </c>
      <c r="H113" s="2" t="s">
        <v>1012</v>
      </c>
      <c r="I113" s="2" t="s">
        <v>1013</v>
      </c>
      <c r="J113" s="2" t="s">
        <v>1014</v>
      </c>
      <c r="K113" s="2" t="s">
        <v>1015</v>
      </c>
      <c r="L113" s="2" t="s">
        <v>160</v>
      </c>
      <c r="M113" s="13" t="s">
        <v>111</v>
      </c>
      <c r="N113" s="2" t="s">
        <v>161</v>
      </c>
      <c r="O113" s="2" t="s">
        <v>113</v>
      </c>
      <c r="P113" s="2" t="s">
        <v>1016</v>
      </c>
      <c r="Q113" s="2"/>
      <c r="R113" s="2"/>
      <c r="S113" s="2"/>
      <c r="T113" s="2"/>
      <c r="U113" s="4"/>
      <c r="V113" s="2"/>
    </row>
    <row r="115" customFormat="false" ht="15" hidden="false" customHeight="false" outlineLevel="0" collapsed="false">
      <c r="A115" s="19" t="s">
        <v>1017</v>
      </c>
    </row>
  </sheetData>
  <autoFilter ref="A1:V113"/>
  <dataValidations count="1">
    <dataValidation allowBlank="true" errorStyle="stop" operator="between" showDropDown="false" showErrorMessage="false" showInputMessage="false" sqref="T2:T113" type="list">
      <formula1>"Не начато,Звонок назначен,Был контакт,КП отправлено,Переговоры,Партнёр,Отказ"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  <col collapsed="false" customWidth="true" hidden="false" outlineLevel="0" max="2" min="2" style="0" width="12"/>
  </cols>
  <sheetData>
    <row r="1" customFormat="false" ht="15" hidden="false" customHeight="false" outlineLevel="0" collapsed="false">
      <c r="A1" s="20" t="s">
        <v>1018</v>
      </c>
      <c r="B1" s="21"/>
    </row>
    <row r="2" customFormat="false" ht="15" hidden="false" customHeight="false" outlineLevel="0" collapsed="false">
      <c r="A2" s="21" t="s">
        <v>1019</v>
      </c>
      <c r="B2" s="21" t="n">
        <f aca="false">COUNTA('Анализ &gt;50 млн'!A2:A113)</f>
        <v>112</v>
      </c>
    </row>
    <row r="3" customFormat="false" ht="15" hidden="false" customHeight="false" outlineLevel="0" collapsed="false">
      <c r="A3" s="21" t="s">
        <v>1020</v>
      </c>
      <c r="B3" s="21" t="n">
        <f aca="false">COUNTIF('Анализ &gt;50 млн'!O2:O113,"Проверено*")</f>
        <v>100</v>
      </c>
    </row>
    <row r="4" customFormat="false" ht="15" hidden="false" customHeight="false" outlineLevel="0" collapsed="false">
      <c r="A4" s="21" t="s">
        <v>1021</v>
      </c>
      <c r="B4" s="21" t="n">
        <f aca="false">COUNTIF('Анализ &gt;50 млн'!O2:O113,"Сайт не*")+COUNTIF('Анализ &gt;50 млн'!O2:O113,"Требует*")</f>
        <v>12</v>
      </c>
    </row>
    <row r="5" customFormat="false" ht="15" hidden="false" customHeight="false" outlineLevel="0" collapsed="false">
      <c r="A5" s="21" t="s">
        <v>1022</v>
      </c>
      <c r="B5" s="21" t="n">
        <f aca="false">COUNTIF('Анализ &gt;50 млн'!M2:M113,"A")</f>
        <v>27</v>
      </c>
    </row>
    <row r="6" customFormat="false" ht="15" hidden="false" customHeight="false" outlineLevel="0" collapsed="false">
      <c r="A6" s="21" t="s">
        <v>1023</v>
      </c>
      <c r="B6" s="21" t="n">
        <f aca="false">COUNTIF('Анализ &gt;50 млн'!M2:M113,"A (мониторинг)")</f>
        <v>16</v>
      </c>
    </row>
    <row r="7" customFormat="false" ht="15" hidden="false" customHeight="false" outlineLevel="0" collapsed="false">
      <c r="A7" s="21" t="s">
        <v>1024</v>
      </c>
      <c r="B7" s="21" t="n">
        <f aca="false">COUNTIF('Анализ &gt;50 млн'!M2:M113,"B")</f>
        <v>46</v>
      </c>
    </row>
    <row r="8" customFormat="false" ht="15" hidden="false" customHeight="false" outlineLevel="0" collapsed="false">
      <c r="A8" s="21" t="s">
        <v>1025</v>
      </c>
      <c r="B8" s="21" t="n">
        <f aca="false">COUNTIF('Анализ &gt;50 млн'!M2:M113,"C")</f>
        <v>23</v>
      </c>
    </row>
    <row r="9" customFormat="false" ht="15" hidden="false" customHeight="false" outlineLevel="0" collapsed="false">
      <c r="A9" s="21" t="s">
        <v>1026</v>
      </c>
      <c r="B9" s="21" t="n">
        <f aca="false">COUNTA('Анализ &gt;50 млн'!Q2:Q113)</f>
        <v>43</v>
      </c>
    </row>
    <row r="10" customFormat="false" ht="15" hidden="false" customHeight="false" outlineLevel="0" collapsed="false">
      <c r="A10" s="21"/>
      <c r="B10" s="21"/>
    </row>
    <row r="11" customFormat="false" ht="15" hidden="false" customHeight="false" outlineLevel="0" collapsed="false">
      <c r="A11" s="20" t="s">
        <v>1027</v>
      </c>
      <c r="B11" s="21"/>
    </row>
    <row r="12" customFormat="false" ht="23.85" hidden="false" customHeight="false" outlineLevel="0" collapsed="false">
      <c r="A12" s="21" t="s">
        <v>1028</v>
      </c>
      <c r="B12" s="21"/>
    </row>
    <row r="13" customFormat="false" ht="23.85" hidden="false" customHeight="false" outlineLevel="0" collapsed="false">
      <c r="A13" s="21" t="s">
        <v>1029</v>
      </c>
      <c r="B13" s="21"/>
    </row>
    <row r="14" customFormat="false" ht="15" hidden="false" customHeight="false" outlineLevel="0" collapsed="false">
      <c r="A14" s="21" t="s">
        <v>1030</v>
      </c>
      <c r="B14" s="21"/>
    </row>
    <row r="15" customFormat="false" ht="23.85" hidden="false" customHeight="false" outlineLevel="0" collapsed="false">
      <c r="A15" s="21" t="s">
        <v>1031</v>
      </c>
      <c r="B15" s="21"/>
    </row>
    <row r="16" customFormat="false" ht="23.85" hidden="false" customHeight="false" outlineLevel="0" collapsed="false">
      <c r="A16" s="21" t="s">
        <v>1032</v>
      </c>
      <c r="B16" s="21"/>
    </row>
    <row r="17" customFormat="false" ht="23.85" hidden="false" customHeight="false" outlineLevel="0" collapsed="false">
      <c r="A17" s="21" t="s">
        <v>1033</v>
      </c>
      <c r="B17" s="21"/>
    </row>
    <row r="18" customFormat="false" ht="15" hidden="false" customHeight="false" outlineLevel="0" collapsed="false">
      <c r="A18" s="21"/>
      <c r="B18" s="21"/>
    </row>
    <row r="19" customFormat="false" ht="15" hidden="false" customHeight="false" outlineLevel="0" collapsed="false">
      <c r="A19" s="21" t="s">
        <v>1034</v>
      </c>
      <c r="B19" s="2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4"/>
    <col collapsed="false" customWidth="true" hidden="false" outlineLevel="0" max="3" min="3" style="0" width="48"/>
    <col collapsed="false" customWidth="true" hidden="false" outlineLevel="0" max="4" min="4" style="0" width="26"/>
    <col collapsed="false" customWidth="true" hidden="false" outlineLevel="0" max="5" min="5" style="0" width="32"/>
    <col collapsed="false" customWidth="true" hidden="false" outlineLevel="0" max="6" min="6" style="0" width="46"/>
  </cols>
  <sheetData>
    <row r="1" customFormat="false" ht="15" hidden="false" customHeight="false" outlineLevel="0" collapsed="false">
      <c r="A1" s="22" t="s">
        <v>79</v>
      </c>
      <c r="B1" s="22" t="s">
        <v>1035</v>
      </c>
      <c r="C1" s="22" t="s">
        <v>1036</v>
      </c>
      <c r="D1" s="22" t="s">
        <v>1037</v>
      </c>
      <c r="E1" s="22" t="s">
        <v>1038</v>
      </c>
      <c r="F1" s="22" t="s">
        <v>1039</v>
      </c>
    </row>
    <row r="2" customFormat="false" ht="23.85" hidden="false" customHeight="false" outlineLevel="0" collapsed="false">
      <c r="A2" s="2" t="s">
        <v>1040</v>
      </c>
      <c r="B2" s="2" t="s">
        <v>1041</v>
      </c>
      <c r="C2" s="2" t="s">
        <v>1042</v>
      </c>
      <c r="D2" s="2" t="s">
        <v>1043</v>
      </c>
      <c r="E2" s="2" t="s">
        <v>1044</v>
      </c>
      <c r="F2" s="2" t="s">
        <v>1045</v>
      </c>
    </row>
    <row r="3" customFormat="false" ht="23.85" hidden="false" customHeight="false" outlineLevel="0" collapsed="false">
      <c r="A3" s="2" t="s">
        <v>952</v>
      </c>
      <c r="B3" s="2" t="s">
        <v>1041</v>
      </c>
      <c r="C3" s="2" t="s">
        <v>1046</v>
      </c>
      <c r="D3" s="2" t="s">
        <v>1047</v>
      </c>
      <c r="E3" s="2" t="s">
        <v>1048</v>
      </c>
      <c r="F3" s="2" t="s">
        <v>1049</v>
      </c>
    </row>
    <row r="4" customFormat="false" ht="23.85" hidden="false" customHeight="false" outlineLevel="0" collapsed="false">
      <c r="A4" s="2" t="s">
        <v>1050</v>
      </c>
      <c r="B4" s="2" t="s">
        <v>1051</v>
      </c>
      <c r="C4" s="2" t="s">
        <v>1052</v>
      </c>
      <c r="D4" s="2" t="s">
        <v>1053</v>
      </c>
      <c r="E4" s="2" t="s">
        <v>1054</v>
      </c>
      <c r="F4" s="2" t="s">
        <v>1055</v>
      </c>
    </row>
    <row r="5" customFormat="false" ht="23.85" hidden="false" customHeight="false" outlineLevel="0" collapsed="false">
      <c r="A5" s="2" t="s">
        <v>1056</v>
      </c>
      <c r="B5" s="2" t="s">
        <v>1051</v>
      </c>
      <c r="C5" s="2" t="s">
        <v>1057</v>
      </c>
      <c r="D5" s="2" t="s">
        <v>1058</v>
      </c>
      <c r="E5" s="2" t="s">
        <v>473</v>
      </c>
      <c r="F5" s="2" t="s">
        <v>1059</v>
      </c>
    </row>
    <row r="6" customFormat="false" ht="23.85" hidden="false" customHeight="false" outlineLevel="0" collapsed="false">
      <c r="A6" s="2" t="s">
        <v>1060</v>
      </c>
      <c r="B6" s="2" t="s">
        <v>1061</v>
      </c>
      <c r="C6" s="2" t="s">
        <v>1062</v>
      </c>
      <c r="D6" s="2" t="s">
        <v>1063</v>
      </c>
      <c r="E6" s="2" t="s">
        <v>1064</v>
      </c>
      <c r="F6" s="2" t="s">
        <v>1065</v>
      </c>
    </row>
    <row r="7" customFormat="false" ht="23.85" hidden="false" customHeight="false" outlineLevel="0" collapsed="false">
      <c r="A7" s="2" t="s">
        <v>1066</v>
      </c>
      <c r="B7" s="2" t="s">
        <v>1061</v>
      </c>
      <c r="C7" s="2" t="s">
        <v>1067</v>
      </c>
      <c r="D7" s="2" t="s">
        <v>1043</v>
      </c>
      <c r="E7" s="2" t="s">
        <v>1068</v>
      </c>
      <c r="F7" s="2" t="s">
        <v>1069</v>
      </c>
    </row>
    <row r="8" customFormat="false" ht="23.85" hidden="false" customHeight="false" outlineLevel="0" collapsed="false">
      <c r="A8" s="2" t="s">
        <v>1070</v>
      </c>
      <c r="B8" s="2" t="s">
        <v>1071</v>
      </c>
      <c r="C8" s="2" t="s">
        <v>1072</v>
      </c>
      <c r="D8" s="2" t="s">
        <v>1043</v>
      </c>
      <c r="E8" s="2" t="s">
        <v>1073</v>
      </c>
      <c r="F8" s="2" t="s">
        <v>1074</v>
      </c>
    </row>
    <row r="9" customFormat="false" ht="23.85" hidden="false" customHeight="false" outlineLevel="0" collapsed="false">
      <c r="A9" s="2" t="s">
        <v>525</v>
      </c>
      <c r="B9" s="2" t="s">
        <v>1075</v>
      </c>
      <c r="C9" s="2" t="s">
        <v>1076</v>
      </c>
      <c r="D9" s="2" t="s">
        <v>1077</v>
      </c>
      <c r="E9" s="2" t="s">
        <v>473</v>
      </c>
      <c r="F9" s="2" t="s">
        <v>1078</v>
      </c>
    </row>
    <row r="10" customFormat="false" ht="23.85" hidden="false" customHeight="false" outlineLevel="0" collapsed="false">
      <c r="A10" s="2" t="s">
        <v>1079</v>
      </c>
      <c r="B10" s="2" t="s">
        <v>1080</v>
      </c>
      <c r="C10" s="2" t="s">
        <v>1081</v>
      </c>
      <c r="D10" s="2" t="s">
        <v>1082</v>
      </c>
      <c r="E10" s="2" t="s">
        <v>1083</v>
      </c>
      <c r="F10" s="2" t="s">
        <v>1084</v>
      </c>
    </row>
    <row r="11" customFormat="false" ht="23.85" hidden="false" customHeight="false" outlineLevel="0" collapsed="false">
      <c r="A11" s="2" t="s">
        <v>1085</v>
      </c>
      <c r="B11" s="2" t="s">
        <v>1086</v>
      </c>
      <c r="C11" s="2" t="s">
        <v>1076</v>
      </c>
      <c r="D11" s="2" t="s">
        <v>473</v>
      </c>
      <c r="E11" s="2" t="s">
        <v>1087</v>
      </c>
      <c r="F11" s="2" t="s">
        <v>1088</v>
      </c>
    </row>
    <row r="12" customFormat="false" ht="15" hidden="false" customHeight="false" outlineLevel="0" collapsed="false">
      <c r="A12" s="2" t="s">
        <v>1089</v>
      </c>
      <c r="B12" s="2" t="s">
        <v>1090</v>
      </c>
      <c r="C12" s="2" t="s">
        <v>1076</v>
      </c>
      <c r="D12" s="2" t="s">
        <v>473</v>
      </c>
      <c r="E12" s="2" t="s">
        <v>1091</v>
      </c>
      <c r="F12" s="2" t="s">
        <v>1092</v>
      </c>
    </row>
    <row r="13" customFormat="false" ht="15" hidden="false" customHeight="false" outlineLevel="0" collapsed="false">
      <c r="A13" s="2" t="s">
        <v>541</v>
      </c>
      <c r="B13" s="2" t="s">
        <v>1093</v>
      </c>
      <c r="C13" s="2" t="s">
        <v>1094</v>
      </c>
      <c r="D13" s="2" t="s">
        <v>1095</v>
      </c>
      <c r="E13" s="2" t="s">
        <v>1096</v>
      </c>
      <c r="F13" s="2" t="s">
        <v>1097</v>
      </c>
    </row>
    <row r="14" customFormat="false" ht="15" hidden="false" customHeight="false" outlineLevel="0" collapsed="false">
      <c r="A14" s="2" t="s">
        <v>709</v>
      </c>
      <c r="B14" s="2" t="s">
        <v>1098</v>
      </c>
      <c r="C14" s="2" t="s">
        <v>1076</v>
      </c>
      <c r="D14" s="2" t="s">
        <v>1099</v>
      </c>
      <c r="E14" s="2" t="s">
        <v>473</v>
      </c>
      <c r="F14" s="2" t="s">
        <v>1100</v>
      </c>
    </row>
    <row r="15" customFormat="false" ht="15" hidden="false" customHeight="false" outlineLevel="0" collapsed="false">
      <c r="A15" s="2" t="s">
        <v>1101</v>
      </c>
      <c r="B15" s="2" t="s">
        <v>1102</v>
      </c>
      <c r="C15" s="2" t="s">
        <v>1076</v>
      </c>
      <c r="D15" s="2" t="s">
        <v>473</v>
      </c>
      <c r="E15" s="2" t="s">
        <v>473</v>
      </c>
      <c r="F15" s="2" t="s">
        <v>1103</v>
      </c>
    </row>
    <row r="16" customFormat="false" ht="23.85" hidden="false" customHeight="false" outlineLevel="0" collapsed="false">
      <c r="A16" s="2" t="s">
        <v>432</v>
      </c>
      <c r="B16" s="2" t="s">
        <v>1104</v>
      </c>
      <c r="C16" s="2" t="s">
        <v>1105</v>
      </c>
      <c r="D16" s="2" t="s">
        <v>1106</v>
      </c>
      <c r="E16" s="2" t="s">
        <v>1107</v>
      </c>
      <c r="F16" s="2" t="s">
        <v>1108</v>
      </c>
    </row>
    <row r="17" customFormat="false" ht="23.85" hidden="false" customHeight="false" outlineLevel="0" collapsed="false">
      <c r="A17" s="2" t="s">
        <v>1109</v>
      </c>
      <c r="B17" s="2" t="s">
        <v>1110</v>
      </c>
      <c r="C17" s="2" t="s">
        <v>1111</v>
      </c>
      <c r="D17" s="2" t="s">
        <v>1112</v>
      </c>
      <c r="E17" s="2" t="s">
        <v>1113</v>
      </c>
      <c r="F17" s="2" t="s">
        <v>1114</v>
      </c>
    </row>
    <row r="19" customFormat="false" ht="15" hidden="false" customHeight="false" outlineLevel="0" collapsed="false">
      <c r="A19" s="19" t="s">
        <v>1115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2" activeCellId="0" sqref="C2"/>
    </sheetView>
  </sheetViews>
  <sheetFormatPr defaultColWidth="14.5078125" defaultRowHeight="15" zeroHeight="false" outlineLevelRow="0" outlineLevelCol="0"/>
  <cols>
    <col collapsed="false" customWidth="true" hidden="false" outlineLevel="0" max="1" min="1" style="0" width="30.51"/>
    <col collapsed="false" customWidth="true" hidden="false" outlineLevel="0" max="2" min="2" style="0" width="26"/>
    <col collapsed="false" customWidth="true" hidden="false" outlineLevel="0" max="3" min="3" style="0" width="20.66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18.16"/>
    <col collapsed="false" customWidth="true" hidden="false" outlineLevel="0" max="15" min="7" style="0" width="8.67"/>
  </cols>
  <sheetData>
    <row r="1" customFormat="false" ht="31.5" hidden="false" customHeight="true" outlineLevel="0" collapsed="false">
      <c r="A1" s="23" t="s">
        <v>79</v>
      </c>
      <c r="B1" s="23" t="s">
        <v>80</v>
      </c>
      <c r="C1" s="23" t="s">
        <v>1116</v>
      </c>
      <c r="D1" s="23" t="s">
        <v>82</v>
      </c>
      <c r="E1" s="24" t="s">
        <v>1117</v>
      </c>
      <c r="F1" s="24" t="s">
        <v>84</v>
      </c>
      <c r="G1" s="25"/>
      <c r="H1" s="25"/>
      <c r="I1" s="25"/>
      <c r="J1" s="25"/>
      <c r="K1" s="25"/>
      <c r="L1" s="25"/>
      <c r="M1" s="25"/>
      <c r="N1" s="25"/>
      <c r="O1" s="25"/>
    </row>
    <row r="2" customFormat="false" ht="15" hidden="false" customHeight="false" outlineLevel="0" collapsed="false">
      <c r="A2" s="26" t="s">
        <v>101</v>
      </c>
      <c r="B2" s="26" t="s">
        <v>102</v>
      </c>
      <c r="C2" s="27" t="s">
        <v>103</v>
      </c>
      <c r="D2" s="27" t="n">
        <v>7701004101</v>
      </c>
      <c r="E2" s="28" t="n">
        <v>26652</v>
      </c>
      <c r="F2" s="28" t="s">
        <v>104</v>
      </c>
    </row>
    <row r="3" customFormat="false" ht="15" hidden="false" customHeight="false" outlineLevel="0" collapsed="false">
      <c r="A3" s="26" t="s">
        <v>115</v>
      </c>
      <c r="B3" s="26" t="s">
        <v>102</v>
      </c>
      <c r="C3" s="27" t="s">
        <v>116</v>
      </c>
      <c r="D3" s="27" t="n">
        <v>7743553167</v>
      </c>
      <c r="E3" s="28" t="n">
        <v>15243</v>
      </c>
      <c r="F3" s="28" t="s">
        <v>104</v>
      </c>
    </row>
    <row r="4" customFormat="false" ht="15" hidden="false" customHeight="false" outlineLevel="0" collapsed="false">
      <c r="A4" s="26" t="s">
        <v>124</v>
      </c>
      <c r="B4" s="26" t="s">
        <v>102</v>
      </c>
      <c r="C4" s="27" t="s">
        <v>125</v>
      </c>
      <c r="D4" s="27" t="n">
        <v>7727004113</v>
      </c>
      <c r="E4" s="28" t="n">
        <v>14416</v>
      </c>
      <c r="F4" s="28" t="s">
        <v>104</v>
      </c>
    </row>
    <row r="5" customFormat="false" ht="15" hidden="false" customHeight="false" outlineLevel="0" collapsed="false">
      <c r="A5" s="26" t="s">
        <v>124</v>
      </c>
      <c r="B5" s="26" t="s">
        <v>102</v>
      </c>
      <c r="C5" s="27" t="s">
        <v>125</v>
      </c>
      <c r="D5" s="27" t="n">
        <v>7727004113</v>
      </c>
      <c r="E5" s="28" t="n">
        <v>14416</v>
      </c>
      <c r="F5" s="28" t="s">
        <v>104</v>
      </c>
    </row>
    <row r="6" customFormat="false" ht="15" hidden="false" customHeight="false" outlineLevel="0" collapsed="false">
      <c r="A6" s="26" t="s">
        <v>132</v>
      </c>
      <c r="B6" s="26" t="s">
        <v>102</v>
      </c>
      <c r="C6" s="27" t="s">
        <v>133</v>
      </c>
      <c r="D6" s="27" t="n">
        <v>7730081654</v>
      </c>
      <c r="E6" s="28" t="n">
        <v>9322</v>
      </c>
      <c r="F6" s="28" t="s">
        <v>104</v>
      </c>
    </row>
    <row r="7" customFormat="false" ht="20.25" hidden="false" customHeight="true" outlineLevel="0" collapsed="false">
      <c r="A7" s="26" t="s">
        <v>141</v>
      </c>
      <c r="B7" s="26" t="s">
        <v>142</v>
      </c>
      <c r="C7" s="27" t="s">
        <v>143</v>
      </c>
      <c r="D7" s="27" t="n">
        <v>7708651718</v>
      </c>
      <c r="E7" s="26" t="n">
        <v>8933</v>
      </c>
      <c r="F7" s="28" t="s">
        <v>104</v>
      </c>
    </row>
    <row r="8" customFormat="false" ht="15" hidden="false" customHeight="false" outlineLevel="0" collapsed="false">
      <c r="A8" s="26" t="s">
        <v>152</v>
      </c>
      <c r="B8" s="26" t="s">
        <v>153</v>
      </c>
      <c r="C8" s="27" t="s">
        <v>154</v>
      </c>
      <c r="D8" s="27" t="n">
        <v>7731625191</v>
      </c>
      <c r="E8" s="28" t="n">
        <v>4100</v>
      </c>
      <c r="F8" s="28" t="s">
        <v>104</v>
      </c>
    </row>
    <row r="9" customFormat="false" ht="15" hidden="false" customHeight="false" outlineLevel="0" collapsed="false">
      <c r="A9" s="26" t="s">
        <v>163</v>
      </c>
      <c r="B9" s="26" t="s">
        <v>153</v>
      </c>
      <c r="C9" s="29" t="s">
        <v>164</v>
      </c>
      <c r="D9" s="27" t="n">
        <v>9705117847</v>
      </c>
      <c r="E9" s="26" t="n">
        <v>3975</v>
      </c>
      <c r="F9" s="28" t="s">
        <v>104</v>
      </c>
    </row>
    <row r="10" customFormat="false" ht="15" hidden="false" customHeight="false" outlineLevel="0" collapsed="false">
      <c r="A10" s="26" t="s">
        <v>163</v>
      </c>
      <c r="B10" s="26" t="s">
        <v>153</v>
      </c>
      <c r="C10" s="29" t="s">
        <v>164</v>
      </c>
      <c r="D10" s="27" t="n">
        <v>9705117847</v>
      </c>
      <c r="E10" s="26" t="n">
        <v>3975</v>
      </c>
      <c r="F10" s="28" t="s">
        <v>104</v>
      </c>
    </row>
    <row r="11" customFormat="false" ht="15" hidden="false" customHeight="false" outlineLevel="0" collapsed="false">
      <c r="A11" s="26" t="s">
        <v>171</v>
      </c>
      <c r="B11" s="26" t="s">
        <v>153</v>
      </c>
      <c r="C11" s="27" t="s">
        <v>172</v>
      </c>
      <c r="D11" s="27" t="n">
        <v>9724154876</v>
      </c>
      <c r="E11" s="28" t="n">
        <v>3182</v>
      </c>
      <c r="F11" s="28" t="s">
        <v>104</v>
      </c>
    </row>
    <row r="12" customFormat="false" ht="15" hidden="false" customHeight="false" outlineLevel="0" collapsed="false">
      <c r="A12" s="26" t="s">
        <v>181</v>
      </c>
      <c r="B12" s="26" t="s">
        <v>102</v>
      </c>
      <c r="C12" s="26" t="s">
        <v>182</v>
      </c>
      <c r="D12" s="27" t="n">
        <v>7810819986</v>
      </c>
      <c r="E12" s="28" t="n">
        <v>3137</v>
      </c>
      <c r="F12" s="28" t="s">
        <v>183</v>
      </c>
    </row>
    <row r="13" customFormat="false" ht="15" hidden="false" customHeight="false" outlineLevel="0" collapsed="false">
      <c r="A13" s="26" t="s">
        <v>190</v>
      </c>
      <c r="B13" s="26" t="s">
        <v>142</v>
      </c>
      <c r="C13" s="27" t="s">
        <v>191</v>
      </c>
      <c r="D13" s="27" t="n">
        <v>6732026311</v>
      </c>
      <c r="E13" s="28" t="n">
        <v>2555</v>
      </c>
      <c r="F13" s="28"/>
    </row>
    <row r="14" customFormat="false" ht="15" hidden="false" customHeight="false" outlineLevel="0" collapsed="false">
      <c r="A14" s="26" t="s">
        <v>198</v>
      </c>
      <c r="B14" s="26" t="s">
        <v>102</v>
      </c>
      <c r="C14" s="27" t="s">
        <v>199</v>
      </c>
      <c r="D14" s="27" t="n">
        <v>7720820948</v>
      </c>
      <c r="E14" s="28" t="n">
        <v>2180</v>
      </c>
      <c r="F14" s="28" t="s">
        <v>104</v>
      </c>
    </row>
    <row r="15" customFormat="false" ht="15" hidden="false" customHeight="false" outlineLevel="0" collapsed="false">
      <c r="A15" s="26" t="s">
        <v>202</v>
      </c>
      <c r="B15" s="26" t="s">
        <v>153</v>
      </c>
      <c r="C15" s="27" t="s">
        <v>203</v>
      </c>
      <c r="D15" s="27" t="n">
        <v>7709697296</v>
      </c>
      <c r="E15" s="28" t="n">
        <v>1991</v>
      </c>
      <c r="F15" s="28" t="s">
        <v>104</v>
      </c>
    </row>
    <row r="16" customFormat="false" ht="15" hidden="false" customHeight="false" outlineLevel="0" collapsed="false">
      <c r="A16" s="26" t="s">
        <v>202</v>
      </c>
      <c r="B16" s="26" t="s">
        <v>142</v>
      </c>
      <c r="C16" s="27" t="s">
        <v>203</v>
      </c>
      <c r="D16" s="27" t="n">
        <v>7709697296</v>
      </c>
      <c r="E16" s="28" t="n">
        <v>1991</v>
      </c>
      <c r="F16" s="28" t="s">
        <v>104</v>
      </c>
    </row>
    <row r="17" customFormat="false" ht="15" hidden="false" customHeight="false" outlineLevel="0" collapsed="false">
      <c r="A17" s="26" t="s">
        <v>211</v>
      </c>
      <c r="B17" s="26" t="s">
        <v>102</v>
      </c>
      <c r="C17" s="27" t="s">
        <v>212</v>
      </c>
      <c r="D17" s="27" t="n">
        <v>7703402732</v>
      </c>
      <c r="E17" s="28" t="n">
        <v>1953</v>
      </c>
      <c r="F17" s="28" t="s">
        <v>104</v>
      </c>
    </row>
    <row r="18" customFormat="false" ht="15" hidden="false" customHeight="false" outlineLevel="0" collapsed="false">
      <c r="A18" s="26" t="s">
        <v>218</v>
      </c>
      <c r="B18" s="26" t="s">
        <v>102</v>
      </c>
      <c r="C18" s="27" t="s">
        <v>219</v>
      </c>
      <c r="D18" s="27" t="n">
        <v>7722283103</v>
      </c>
      <c r="E18" s="28" t="n">
        <v>1856</v>
      </c>
      <c r="F18" s="28" t="s">
        <v>104</v>
      </c>
    </row>
    <row r="19" customFormat="false" ht="15" hidden="false" customHeight="false" outlineLevel="0" collapsed="false">
      <c r="A19" s="26" t="s">
        <v>225</v>
      </c>
      <c r="B19" s="26" t="s">
        <v>226</v>
      </c>
      <c r="C19" s="27" t="s">
        <v>227</v>
      </c>
      <c r="D19" s="27" t="n">
        <v>9717098324</v>
      </c>
      <c r="E19" s="28" t="n">
        <v>1832</v>
      </c>
      <c r="F19" s="28" t="s">
        <v>104</v>
      </c>
    </row>
    <row r="20" customFormat="false" ht="15" hidden="false" customHeight="false" outlineLevel="0" collapsed="false">
      <c r="A20" s="26" t="s">
        <v>238</v>
      </c>
      <c r="B20" s="26" t="s">
        <v>102</v>
      </c>
      <c r="C20" s="27" t="s">
        <v>239</v>
      </c>
      <c r="D20" s="27" t="n">
        <v>7810341266</v>
      </c>
      <c r="E20" s="26" t="n">
        <v>1575</v>
      </c>
      <c r="F20" s="28" t="s">
        <v>183</v>
      </c>
    </row>
    <row r="21" customFormat="false" ht="15" hidden="false" customHeight="false" outlineLevel="0" collapsed="false">
      <c r="A21" s="26" t="s">
        <v>245</v>
      </c>
      <c r="B21" s="26" t="s">
        <v>102</v>
      </c>
      <c r="C21" s="27" t="s">
        <v>246</v>
      </c>
      <c r="D21" s="27" t="n">
        <v>3445084000</v>
      </c>
      <c r="E21" s="28" t="n">
        <v>1355</v>
      </c>
      <c r="F21" s="28" t="s">
        <v>104</v>
      </c>
    </row>
    <row r="22" customFormat="false" ht="15" hidden="false" customHeight="false" outlineLevel="0" collapsed="false">
      <c r="A22" s="26" t="s">
        <v>252</v>
      </c>
      <c r="B22" s="26" t="s">
        <v>102</v>
      </c>
      <c r="C22" s="29" t="s">
        <v>253</v>
      </c>
      <c r="D22" s="27" t="n">
        <v>7736038341</v>
      </c>
      <c r="E22" s="28" t="n">
        <v>1340</v>
      </c>
      <c r="F22" s="28" t="s">
        <v>104</v>
      </c>
    </row>
    <row r="23" customFormat="false" ht="15" hidden="false" customHeight="false" outlineLevel="0" collapsed="false">
      <c r="A23" s="26" t="s">
        <v>260</v>
      </c>
      <c r="B23" s="26" t="s">
        <v>142</v>
      </c>
      <c r="C23" s="27" t="s">
        <v>261</v>
      </c>
      <c r="D23" s="27" t="n">
        <v>9715207761</v>
      </c>
      <c r="E23" s="26" t="n">
        <v>1263</v>
      </c>
      <c r="F23" s="28" t="s">
        <v>104</v>
      </c>
    </row>
    <row r="24" customFormat="false" ht="15" hidden="false" customHeight="false" outlineLevel="0" collapsed="false">
      <c r="A24" s="26" t="s">
        <v>269</v>
      </c>
      <c r="B24" s="26" t="s">
        <v>270</v>
      </c>
      <c r="C24" s="29" t="s">
        <v>271</v>
      </c>
      <c r="D24" s="27" t="n">
        <v>7804472253</v>
      </c>
      <c r="E24" s="28" t="n">
        <v>1052</v>
      </c>
      <c r="F24" s="28" t="s">
        <v>183</v>
      </c>
    </row>
    <row r="25" customFormat="false" ht="15.75" hidden="false" customHeight="true" outlineLevel="0" collapsed="false">
      <c r="A25" s="25" t="s">
        <v>281</v>
      </c>
      <c r="B25" s="26" t="s">
        <v>102</v>
      </c>
      <c r="C25" s="27" t="s">
        <v>282</v>
      </c>
      <c r="D25" s="27" t="n">
        <v>7720768984</v>
      </c>
      <c r="E25" s="28" t="n">
        <v>943</v>
      </c>
      <c r="F25" s="28" t="s">
        <v>104</v>
      </c>
    </row>
    <row r="26" customFormat="false" ht="15" hidden="false" customHeight="false" outlineLevel="0" collapsed="false">
      <c r="A26" s="26" t="s">
        <v>289</v>
      </c>
      <c r="B26" s="26" t="s">
        <v>102</v>
      </c>
      <c r="C26" s="27" t="s">
        <v>290</v>
      </c>
      <c r="D26" s="27" t="n">
        <v>7722350688</v>
      </c>
      <c r="E26" s="26" t="n">
        <v>818</v>
      </c>
      <c r="F26" s="28" t="s">
        <v>104</v>
      </c>
    </row>
    <row r="27" customFormat="false" ht="15" hidden="false" customHeight="false" outlineLevel="0" collapsed="false">
      <c r="A27" s="26" t="s">
        <v>296</v>
      </c>
      <c r="B27" s="26" t="s">
        <v>297</v>
      </c>
      <c r="C27" s="27" t="s">
        <v>298</v>
      </c>
      <c r="D27" s="27" t="n">
        <v>7733852150</v>
      </c>
      <c r="E27" s="28" t="n">
        <v>797</v>
      </c>
      <c r="F27" s="28" t="s">
        <v>104</v>
      </c>
    </row>
    <row r="28" customFormat="false" ht="15" hidden="false" customHeight="false" outlineLevel="0" collapsed="false">
      <c r="A28" s="26" t="s">
        <v>1118</v>
      </c>
      <c r="B28" s="26" t="s">
        <v>297</v>
      </c>
      <c r="C28" s="27" t="s">
        <v>298</v>
      </c>
      <c r="D28" s="27" t="n">
        <v>7733852150</v>
      </c>
      <c r="E28" s="28" t="n">
        <v>797</v>
      </c>
      <c r="F28" s="28" t="s">
        <v>104</v>
      </c>
    </row>
    <row r="29" customFormat="false" ht="15" hidden="false" customHeight="false" outlineLevel="0" collapsed="false">
      <c r="A29" s="26" t="s">
        <v>306</v>
      </c>
      <c r="B29" s="26" t="s">
        <v>142</v>
      </c>
      <c r="C29" s="27" t="s">
        <v>307</v>
      </c>
      <c r="D29" s="27" t="n">
        <v>7722321623</v>
      </c>
      <c r="E29" s="28" t="n">
        <v>793</v>
      </c>
      <c r="F29" s="28" t="s">
        <v>104</v>
      </c>
    </row>
    <row r="30" customFormat="false" ht="15" hidden="false" customHeight="false" outlineLevel="0" collapsed="false">
      <c r="A30" s="26" t="s">
        <v>314</v>
      </c>
      <c r="B30" s="26" t="s">
        <v>315</v>
      </c>
      <c r="C30" s="27" t="s">
        <v>316</v>
      </c>
      <c r="D30" s="27" t="n">
        <v>7724865932</v>
      </c>
      <c r="E30" s="28" t="n">
        <v>771</v>
      </c>
      <c r="F30" s="28" t="s">
        <v>104</v>
      </c>
    </row>
    <row r="31" customFormat="false" ht="15" hidden="false" customHeight="false" outlineLevel="0" collapsed="false">
      <c r="A31" s="26" t="s">
        <v>326</v>
      </c>
      <c r="B31" s="26" t="s">
        <v>153</v>
      </c>
      <c r="C31" s="27" t="s">
        <v>327</v>
      </c>
      <c r="D31" s="27" t="n">
        <v>6143088075</v>
      </c>
      <c r="E31" s="28" t="n">
        <v>767</v>
      </c>
      <c r="F31" s="28"/>
    </row>
    <row r="32" customFormat="false" ht="15" hidden="false" customHeight="false" outlineLevel="0" collapsed="false">
      <c r="A32" s="26" t="s">
        <v>334</v>
      </c>
      <c r="B32" s="26" t="s">
        <v>153</v>
      </c>
      <c r="C32" s="27" t="s">
        <v>335</v>
      </c>
      <c r="D32" s="27" t="n">
        <v>7707661897</v>
      </c>
      <c r="E32" s="28" t="n">
        <v>719</v>
      </c>
      <c r="F32" s="28" t="s">
        <v>104</v>
      </c>
    </row>
    <row r="33" customFormat="false" ht="15.75" hidden="false" customHeight="true" outlineLevel="0" collapsed="false">
      <c r="A33" s="25" t="s">
        <v>341</v>
      </c>
      <c r="B33" s="26" t="s">
        <v>270</v>
      </c>
      <c r="C33" s="27" t="s">
        <v>342</v>
      </c>
      <c r="D33" s="27" t="n">
        <v>7730700872</v>
      </c>
      <c r="E33" s="26" t="n">
        <v>709</v>
      </c>
      <c r="F33" s="28" t="s">
        <v>104</v>
      </c>
    </row>
    <row r="34" customFormat="false" ht="15" hidden="false" customHeight="false" outlineLevel="0" collapsed="false">
      <c r="A34" s="26" t="s">
        <v>351</v>
      </c>
      <c r="B34" s="26" t="s">
        <v>315</v>
      </c>
      <c r="C34" s="27" t="s">
        <v>352</v>
      </c>
      <c r="D34" s="27" t="n">
        <v>7723917306</v>
      </c>
      <c r="E34" s="28" t="n">
        <v>703</v>
      </c>
      <c r="F34" s="28" t="s">
        <v>104</v>
      </c>
    </row>
    <row r="35" customFormat="false" ht="15" hidden="false" customHeight="false" outlineLevel="0" collapsed="false">
      <c r="A35" s="26" t="s">
        <v>360</v>
      </c>
      <c r="B35" s="26" t="s">
        <v>153</v>
      </c>
      <c r="C35" s="27" t="s">
        <v>361</v>
      </c>
      <c r="D35" s="27" t="n">
        <v>7717103901</v>
      </c>
      <c r="E35" s="28" t="n">
        <v>696</v>
      </c>
      <c r="F35" s="28" t="s">
        <v>104</v>
      </c>
    </row>
    <row r="36" customFormat="false" ht="15" hidden="false" customHeight="false" outlineLevel="0" collapsed="false">
      <c r="A36" s="26" t="s">
        <v>370</v>
      </c>
      <c r="B36" s="26" t="s">
        <v>371</v>
      </c>
      <c r="C36" s="27" t="s">
        <v>372</v>
      </c>
      <c r="D36" s="27" t="n">
        <v>7701704424</v>
      </c>
      <c r="E36" s="28" t="n">
        <v>678</v>
      </c>
      <c r="F36" s="28" t="s">
        <v>104</v>
      </c>
    </row>
    <row r="37" customFormat="false" ht="15" hidden="false" customHeight="false" outlineLevel="0" collapsed="false">
      <c r="A37" s="26" t="s">
        <v>380</v>
      </c>
      <c r="B37" s="26" t="s">
        <v>153</v>
      </c>
      <c r="C37" s="29" t="s">
        <v>381</v>
      </c>
      <c r="D37" s="26" t="n">
        <v>7710892703</v>
      </c>
      <c r="E37" s="28" t="n">
        <v>656</v>
      </c>
      <c r="F37" s="28" t="s">
        <v>104</v>
      </c>
    </row>
    <row r="38" customFormat="false" ht="15.75" hidden="false" customHeight="true" outlineLevel="0" collapsed="false">
      <c r="A38" s="25" t="s">
        <v>387</v>
      </c>
      <c r="B38" s="26" t="s">
        <v>102</v>
      </c>
      <c r="C38" s="29" t="s">
        <v>388</v>
      </c>
      <c r="D38" s="27" t="n">
        <v>7724418010</v>
      </c>
      <c r="E38" s="28" t="n">
        <v>651</v>
      </c>
      <c r="F38" s="28" t="s">
        <v>104</v>
      </c>
    </row>
    <row r="39" customFormat="false" ht="15" hidden="false" customHeight="false" outlineLevel="0" collapsed="false">
      <c r="A39" s="26" t="s">
        <v>392</v>
      </c>
      <c r="B39" s="26" t="s">
        <v>226</v>
      </c>
      <c r="C39" s="27" t="s">
        <v>393</v>
      </c>
      <c r="D39" s="27" t="n">
        <v>7724413781</v>
      </c>
      <c r="E39" s="28" t="n">
        <v>645</v>
      </c>
      <c r="F39" s="28" t="s">
        <v>104</v>
      </c>
    </row>
    <row r="40" customFormat="false" ht="15" hidden="false" customHeight="false" outlineLevel="0" collapsed="false">
      <c r="A40" s="26" t="s">
        <v>402</v>
      </c>
      <c r="B40" s="26" t="s">
        <v>102</v>
      </c>
      <c r="C40" s="27" t="s">
        <v>403</v>
      </c>
      <c r="D40" s="27" t="n">
        <v>7728897484</v>
      </c>
      <c r="E40" s="28" t="n">
        <v>620</v>
      </c>
      <c r="F40" s="28" t="s">
        <v>104</v>
      </c>
    </row>
    <row r="41" customFormat="false" ht="15" hidden="false" customHeight="false" outlineLevel="0" collapsed="false">
      <c r="A41" s="26" t="s">
        <v>410</v>
      </c>
      <c r="B41" s="26" t="s">
        <v>153</v>
      </c>
      <c r="C41" s="27" t="s">
        <v>411</v>
      </c>
      <c r="D41" s="27" t="n">
        <v>7720715213</v>
      </c>
      <c r="E41" s="28" t="n">
        <v>618</v>
      </c>
      <c r="F41" s="28" t="s">
        <v>104</v>
      </c>
    </row>
    <row r="42" customFormat="false" ht="15" hidden="false" customHeight="false" outlineLevel="0" collapsed="false">
      <c r="A42" s="26" t="s">
        <v>416</v>
      </c>
      <c r="B42" s="26" t="s">
        <v>142</v>
      </c>
      <c r="C42" s="27" t="s">
        <v>417</v>
      </c>
      <c r="D42" s="27" t="n">
        <v>7729443187</v>
      </c>
      <c r="E42" s="28" t="n">
        <v>604</v>
      </c>
      <c r="F42" s="28" t="s">
        <v>104</v>
      </c>
    </row>
    <row r="43" customFormat="false" ht="15" hidden="false" customHeight="false" outlineLevel="0" collapsed="false">
      <c r="A43" s="26" t="s">
        <v>416</v>
      </c>
      <c r="B43" s="26" t="s">
        <v>142</v>
      </c>
      <c r="C43" s="27" t="s">
        <v>417</v>
      </c>
      <c r="D43" s="27" t="n">
        <v>7729443187</v>
      </c>
      <c r="E43" s="28" t="n">
        <v>604</v>
      </c>
      <c r="F43" s="28" t="s">
        <v>104</v>
      </c>
    </row>
    <row r="44" customFormat="false" ht="15" hidden="false" customHeight="false" outlineLevel="0" collapsed="false">
      <c r="A44" s="26" t="s">
        <v>416</v>
      </c>
      <c r="B44" s="26" t="s">
        <v>142</v>
      </c>
      <c r="C44" s="27" t="s">
        <v>417</v>
      </c>
      <c r="D44" s="27" t="n">
        <v>7729443187</v>
      </c>
      <c r="E44" s="28" t="n">
        <v>604</v>
      </c>
      <c r="F44" s="28" t="s">
        <v>104</v>
      </c>
    </row>
    <row r="45" customFormat="false" ht="15" hidden="false" customHeight="false" outlineLevel="0" collapsed="false">
      <c r="A45" s="26" t="s">
        <v>424</v>
      </c>
      <c r="B45" s="26" t="s">
        <v>315</v>
      </c>
      <c r="C45" s="27" t="s">
        <v>425</v>
      </c>
      <c r="D45" s="27" t="n">
        <v>4205176605</v>
      </c>
      <c r="E45" s="28" t="n">
        <v>580</v>
      </c>
      <c r="F45" s="28"/>
    </row>
    <row r="46" customFormat="false" ht="15" hidden="false" customHeight="false" outlineLevel="0" collapsed="false">
      <c r="A46" s="26" t="s">
        <v>432</v>
      </c>
      <c r="B46" s="26" t="s">
        <v>315</v>
      </c>
      <c r="C46" s="27" t="s">
        <v>433</v>
      </c>
      <c r="D46" s="27" t="n">
        <v>6658436206</v>
      </c>
      <c r="E46" s="28" t="n">
        <v>545</v>
      </c>
      <c r="F46" s="28" t="s">
        <v>434</v>
      </c>
      <c r="G46" s="30"/>
      <c r="H46" s="30"/>
      <c r="I46" s="30"/>
      <c r="J46" s="30"/>
      <c r="K46" s="30"/>
      <c r="L46" s="30"/>
      <c r="M46" s="30"/>
      <c r="N46" s="30"/>
      <c r="O46" s="30"/>
    </row>
    <row r="47" customFormat="false" ht="15" hidden="false" customHeight="false" outlineLevel="0" collapsed="false">
      <c r="A47" s="26" t="s">
        <v>441</v>
      </c>
      <c r="B47" s="26" t="s">
        <v>102</v>
      </c>
      <c r="C47" s="27" t="s">
        <v>442</v>
      </c>
      <c r="D47" s="27" t="n">
        <v>7726627740</v>
      </c>
      <c r="E47" s="28" t="n">
        <v>544</v>
      </c>
      <c r="F47" s="28" t="s">
        <v>104</v>
      </c>
    </row>
    <row r="48" customFormat="false" ht="15" hidden="false" customHeight="false" outlineLevel="0" collapsed="false">
      <c r="A48" s="26" t="s">
        <v>449</v>
      </c>
      <c r="B48" s="26" t="s">
        <v>226</v>
      </c>
      <c r="C48" s="27" t="s">
        <v>450</v>
      </c>
      <c r="D48" s="27" t="n">
        <v>2312200249</v>
      </c>
      <c r="E48" s="28" t="n">
        <v>535</v>
      </c>
      <c r="F48" s="28"/>
    </row>
    <row r="49" customFormat="false" ht="15" hidden="false" customHeight="false" outlineLevel="0" collapsed="false">
      <c r="A49" s="26" t="s">
        <v>449</v>
      </c>
      <c r="B49" s="26" t="s">
        <v>226</v>
      </c>
      <c r="C49" s="27" t="s">
        <v>450</v>
      </c>
      <c r="D49" s="27" t="n">
        <v>2312200249</v>
      </c>
      <c r="E49" s="28" t="n">
        <v>535</v>
      </c>
      <c r="F49" s="28"/>
    </row>
    <row r="50" customFormat="false" ht="15.75" hidden="false" customHeight="true" outlineLevel="0" collapsed="false">
      <c r="A50" s="25" t="s">
        <v>457</v>
      </c>
      <c r="B50" s="26" t="s">
        <v>458</v>
      </c>
      <c r="C50" s="27" t="s">
        <v>459</v>
      </c>
      <c r="D50" s="27" t="n">
        <v>7726527350</v>
      </c>
      <c r="E50" s="26" t="n">
        <v>517</v>
      </c>
      <c r="F50" s="28" t="s">
        <v>104</v>
      </c>
    </row>
    <row r="51" customFormat="false" ht="15" hidden="false" customHeight="false" outlineLevel="0" collapsed="false">
      <c r="A51" s="26" t="s">
        <v>469</v>
      </c>
      <c r="B51" s="26" t="s">
        <v>458</v>
      </c>
      <c r="C51" s="27" t="s">
        <v>470</v>
      </c>
      <c r="D51" s="27" t="n">
        <v>5027237616</v>
      </c>
      <c r="E51" s="28" t="n">
        <v>510</v>
      </c>
      <c r="F51" s="31" t="s">
        <v>471</v>
      </c>
    </row>
    <row r="52" customFormat="false" ht="15" hidden="false" customHeight="false" outlineLevel="0" collapsed="false">
      <c r="A52" s="26" t="s">
        <v>476</v>
      </c>
      <c r="B52" s="26" t="s">
        <v>226</v>
      </c>
      <c r="C52" s="27" t="s">
        <v>477</v>
      </c>
      <c r="D52" s="27" t="n">
        <v>7743714689</v>
      </c>
      <c r="E52" s="28" t="n">
        <v>506</v>
      </c>
      <c r="F52" s="28" t="s">
        <v>104</v>
      </c>
    </row>
    <row r="53" customFormat="false" ht="15" hidden="false" customHeight="false" outlineLevel="0" collapsed="false">
      <c r="A53" s="26" t="s">
        <v>484</v>
      </c>
      <c r="B53" s="26" t="s">
        <v>102</v>
      </c>
      <c r="C53" s="29" t="s">
        <v>485</v>
      </c>
      <c r="D53" s="27" t="n">
        <v>9705008196</v>
      </c>
      <c r="E53" s="28" t="n">
        <v>491</v>
      </c>
      <c r="F53" s="28" t="s">
        <v>104</v>
      </c>
    </row>
    <row r="54" customFormat="false" ht="15" hidden="false" customHeight="false" outlineLevel="0" collapsed="false">
      <c r="A54" s="26" t="s">
        <v>489</v>
      </c>
      <c r="B54" s="26" t="s">
        <v>142</v>
      </c>
      <c r="C54" s="27" t="s">
        <v>490</v>
      </c>
      <c r="D54" s="27" t="n">
        <v>9722034090</v>
      </c>
      <c r="E54" s="28" t="n">
        <v>481</v>
      </c>
      <c r="F54" s="28" t="s">
        <v>104</v>
      </c>
    </row>
    <row r="55" customFormat="false" ht="15" hidden="false" customHeight="false" outlineLevel="0" collapsed="false">
      <c r="A55" s="26" t="s">
        <v>496</v>
      </c>
      <c r="B55" s="26" t="s">
        <v>142</v>
      </c>
      <c r="C55" s="27" t="s">
        <v>497</v>
      </c>
      <c r="D55" s="27" t="n">
        <v>7813210938</v>
      </c>
      <c r="E55" s="28" t="n">
        <v>442</v>
      </c>
      <c r="F55" s="28" t="s">
        <v>183</v>
      </c>
    </row>
    <row r="56" customFormat="false" ht="15" hidden="false" customHeight="false" outlineLevel="0" collapsed="false">
      <c r="A56" s="26" t="s">
        <v>503</v>
      </c>
      <c r="B56" s="26" t="s">
        <v>153</v>
      </c>
      <c r="C56" s="27" t="s">
        <v>504</v>
      </c>
      <c r="D56" s="27" t="n">
        <v>7720700150</v>
      </c>
      <c r="E56" s="28" t="n">
        <v>389</v>
      </c>
      <c r="F56" s="28" t="s">
        <v>104</v>
      </c>
    </row>
    <row r="57" customFormat="false" ht="15" hidden="false" customHeight="false" outlineLevel="0" collapsed="false">
      <c r="A57" s="26" t="s">
        <v>511</v>
      </c>
      <c r="B57" s="26" t="s">
        <v>270</v>
      </c>
      <c r="C57" s="27" t="s">
        <v>512</v>
      </c>
      <c r="D57" s="27" t="n">
        <v>7722244432</v>
      </c>
      <c r="E57" s="26" t="n">
        <v>369</v>
      </c>
      <c r="F57" s="28" t="s">
        <v>104</v>
      </c>
    </row>
    <row r="58" customFormat="false" ht="15" hidden="false" customHeight="false" outlineLevel="0" collapsed="false">
      <c r="A58" s="26" t="s">
        <v>522</v>
      </c>
      <c r="B58" s="26" t="s">
        <v>102</v>
      </c>
      <c r="C58" s="27" t="s">
        <v>523</v>
      </c>
      <c r="D58" s="27" t="n">
        <v>7730181560</v>
      </c>
      <c r="E58" s="28" t="n">
        <v>367</v>
      </c>
      <c r="F58" s="28" t="s">
        <v>104</v>
      </c>
    </row>
    <row r="59" customFormat="false" ht="15" hidden="false" customHeight="false" outlineLevel="0" collapsed="false">
      <c r="A59" s="26" t="s">
        <v>525</v>
      </c>
      <c r="B59" s="26" t="s">
        <v>226</v>
      </c>
      <c r="C59" s="27" t="s">
        <v>526</v>
      </c>
      <c r="D59" s="27" t="n">
        <v>5032294024</v>
      </c>
      <c r="E59" s="28" t="n">
        <v>358</v>
      </c>
      <c r="F59" s="28" t="s">
        <v>471</v>
      </c>
    </row>
    <row r="60" customFormat="false" ht="15" hidden="false" customHeight="false" outlineLevel="0" collapsed="false">
      <c r="A60" s="26" t="s">
        <v>534</v>
      </c>
      <c r="B60" s="26" t="s">
        <v>535</v>
      </c>
      <c r="C60" s="27" t="s">
        <v>536</v>
      </c>
      <c r="D60" s="27" t="n">
        <v>7704489895</v>
      </c>
      <c r="E60" s="26" t="n">
        <v>358</v>
      </c>
      <c r="F60" s="28" t="s">
        <v>104</v>
      </c>
    </row>
    <row r="61" customFormat="false" ht="15" hidden="false" customHeight="false" outlineLevel="0" collapsed="false">
      <c r="A61" s="26" t="s">
        <v>541</v>
      </c>
      <c r="B61" s="26" t="s">
        <v>153</v>
      </c>
      <c r="C61" s="27" t="s">
        <v>542</v>
      </c>
      <c r="D61" s="27" t="n">
        <v>6658426261</v>
      </c>
      <c r="E61" s="28" t="n">
        <v>336</v>
      </c>
      <c r="F61" s="28" t="s">
        <v>434</v>
      </c>
    </row>
    <row r="62" customFormat="false" ht="15" hidden="false" customHeight="false" outlineLevel="0" collapsed="false">
      <c r="A62" s="26" t="s">
        <v>541</v>
      </c>
      <c r="B62" s="26" t="s">
        <v>153</v>
      </c>
      <c r="C62" s="27" t="s">
        <v>542</v>
      </c>
      <c r="D62" s="27" t="n">
        <v>6658426261</v>
      </c>
      <c r="E62" s="28" t="n">
        <v>336</v>
      </c>
      <c r="F62" s="28" t="s">
        <v>434</v>
      </c>
    </row>
    <row r="63" customFormat="false" ht="15" hidden="false" customHeight="false" outlineLevel="0" collapsed="false">
      <c r="A63" s="26" t="s">
        <v>541</v>
      </c>
      <c r="B63" s="26" t="s">
        <v>153</v>
      </c>
      <c r="C63" s="27" t="s">
        <v>542</v>
      </c>
      <c r="D63" s="27" t="n">
        <v>6658426261</v>
      </c>
      <c r="E63" s="28" t="n">
        <v>336</v>
      </c>
      <c r="F63" s="28" t="s">
        <v>434</v>
      </c>
    </row>
    <row r="64" customFormat="false" ht="15" hidden="false" customHeight="false" outlineLevel="0" collapsed="false">
      <c r="A64" s="26" t="s">
        <v>549</v>
      </c>
      <c r="B64" s="26" t="s">
        <v>142</v>
      </c>
      <c r="C64" s="27" t="s">
        <v>550</v>
      </c>
      <c r="D64" s="27" t="n">
        <v>7719890620</v>
      </c>
      <c r="E64" s="28" t="n">
        <v>330</v>
      </c>
      <c r="F64" s="28" t="s">
        <v>104</v>
      </c>
    </row>
    <row r="65" customFormat="false" ht="15" hidden="false" customHeight="false" outlineLevel="0" collapsed="false">
      <c r="A65" s="26" t="s">
        <v>556</v>
      </c>
      <c r="B65" s="26" t="s">
        <v>226</v>
      </c>
      <c r="C65" s="27" t="s">
        <v>557</v>
      </c>
      <c r="D65" s="27" t="n">
        <v>7714866077</v>
      </c>
      <c r="E65" s="28" t="n">
        <v>314</v>
      </c>
      <c r="F65" s="28" t="s">
        <v>104</v>
      </c>
    </row>
    <row r="66" customFormat="false" ht="15" hidden="false" customHeight="false" outlineLevel="0" collapsed="false">
      <c r="A66" s="26" t="s">
        <v>563</v>
      </c>
      <c r="B66" s="26" t="s">
        <v>270</v>
      </c>
      <c r="C66" s="27" t="s">
        <v>564</v>
      </c>
      <c r="D66" s="27" t="n">
        <v>5040147369</v>
      </c>
      <c r="E66" s="28" t="n">
        <v>299</v>
      </c>
      <c r="F66" s="31" t="s">
        <v>471</v>
      </c>
    </row>
    <row r="67" customFormat="false" ht="15" hidden="false" customHeight="false" outlineLevel="0" collapsed="false">
      <c r="A67" s="26" t="s">
        <v>572</v>
      </c>
      <c r="B67" s="26" t="s">
        <v>153</v>
      </c>
      <c r="C67" s="27" t="s">
        <v>573</v>
      </c>
      <c r="D67" s="27" t="n">
        <v>1659188885</v>
      </c>
      <c r="E67" s="28" t="n">
        <v>291</v>
      </c>
      <c r="F67" s="28" t="s">
        <v>574</v>
      </c>
    </row>
    <row r="68" customFormat="false" ht="15" hidden="false" customHeight="false" outlineLevel="0" collapsed="false">
      <c r="A68" s="26" t="s">
        <v>581</v>
      </c>
      <c r="B68" s="26" t="s">
        <v>297</v>
      </c>
      <c r="C68" s="27" t="s">
        <v>582</v>
      </c>
      <c r="D68" s="27" t="n">
        <v>7730104245</v>
      </c>
      <c r="E68" s="28" t="n">
        <v>286</v>
      </c>
      <c r="F68" s="28" t="s">
        <v>104</v>
      </c>
    </row>
    <row r="69" customFormat="false" ht="15" hidden="false" customHeight="false" outlineLevel="0" collapsed="false">
      <c r="A69" s="26" t="s">
        <v>589</v>
      </c>
      <c r="B69" s="26" t="s">
        <v>226</v>
      </c>
      <c r="C69" s="26" t="s">
        <v>590</v>
      </c>
      <c r="D69" s="27" t="n">
        <v>7727570341</v>
      </c>
      <c r="E69" s="28" t="n">
        <v>281</v>
      </c>
      <c r="F69" s="28" t="s">
        <v>104</v>
      </c>
    </row>
    <row r="70" customFormat="false" ht="15" hidden="false" customHeight="false" outlineLevel="0" collapsed="false">
      <c r="A70" s="26" t="s">
        <v>597</v>
      </c>
      <c r="B70" s="26" t="s">
        <v>142</v>
      </c>
      <c r="C70" s="29" t="s">
        <v>598</v>
      </c>
      <c r="D70" s="27" t="n">
        <v>7714606600</v>
      </c>
      <c r="E70" s="28" t="n">
        <v>269</v>
      </c>
      <c r="F70" s="28" t="s">
        <v>104</v>
      </c>
    </row>
    <row r="71" customFormat="false" ht="15" hidden="false" customHeight="false" outlineLevel="0" collapsed="false">
      <c r="A71" s="26" t="s">
        <v>605</v>
      </c>
      <c r="B71" s="26" t="s">
        <v>458</v>
      </c>
      <c r="C71" s="27" t="s">
        <v>606</v>
      </c>
      <c r="D71" s="27" t="n">
        <v>5258105649</v>
      </c>
      <c r="E71" s="28" t="n">
        <v>267</v>
      </c>
      <c r="F71" s="28" t="s">
        <v>607</v>
      </c>
    </row>
    <row r="72" customFormat="false" ht="15" hidden="false" customHeight="false" outlineLevel="0" collapsed="false">
      <c r="A72" s="26" t="s">
        <v>615</v>
      </c>
      <c r="B72" s="26" t="s">
        <v>153</v>
      </c>
      <c r="C72" s="27" t="s">
        <v>616</v>
      </c>
      <c r="D72" s="27" t="n">
        <v>7726429875</v>
      </c>
      <c r="E72" s="28" t="n">
        <v>258</v>
      </c>
      <c r="F72" s="28" t="s">
        <v>104</v>
      </c>
    </row>
    <row r="73" customFormat="false" ht="15" hidden="false" customHeight="false" outlineLevel="0" collapsed="false">
      <c r="A73" s="26" t="s">
        <v>626</v>
      </c>
      <c r="B73" s="26" t="s">
        <v>142</v>
      </c>
      <c r="C73" s="27" t="s">
        <v>627</v>
      </c>
      <c r="D73" s="27" t="n">
        <v>7726453620</v>
      </c>
      <c r="E73" s="28" t="n">
        <v>246</v>
      </c>
      <c r="F73" s="28" t="s">
        <v>104</v>
      </c>
    </row>
    <row r="74" customFormat="false" ht="15" hidden="false" customHeight="false" outlineLevel="0" collapsed="false">
      <c r="A74" s="26" t="s">
        <v>626</v>
      </c>
      <c r="B74" s="26" t="s">
        <v>142</v>
      </c>
      <c r="C74" s="27" t="s">
        <v>627</v>
      </c>
      <c r="D74" s="27" t="n">
        <v>7726453620</v>
      </c>
      <c r="E74" s="28" t="n">
        <v>246</v>
      </c>
      <c r="F74" s="28" t="s">
        <v>104</v>
      </c>
    </row>
    <row r="75" customFormat="false" ht="15" hidden="false" customHeight="false" outlineLevel="0" collapsed="false">
      <c r="A75" s="26" t="s">
        <v>636</v>
      </c>
      <c r="B75" s="26" t="s">
        <v>458</v>
      </c>
      <c r="C75" s="27" t="s">
        <v>637</v>
      </c>
      <c r="D75" s="27" t="n">
        <v>7727457593</v>
      </c>
      <c r="E75" s="28" t="n">
        <v>246</v>
      </c>
      <c r="F75" s="28" t="s">
        <v>104</v>
      </c>
    </row>
    <row r="76" customFormat="false" ht="15" hidden="false" customHeight="false" outlineLevel="0" collapsed="false">
      <c r="A76" s="26" t="s">
        <v>636</v>
      </c>
      <c r="B76" s="26" t="s">
        <v>458</v>
      </c>
      <c r="C76" s="27" t="s">
        <v>637</v>
      </c>
      <c r="D76" s="27" t="n">
        <v>7727457593</v>
      </c>
      <c r="E76" s="28" t="n">
        <v>246</v>
      </c>
      <c r="F76" s="28" t="s">
        <v>104</v>
      </c>
    </row>
    <row r="77" customFormat="false" ht="15" hidden="false" customHeight="false" outlineLevel="0" collapsed="false">
      <c r="A77" s="26" t="s">
        <v>644</v>
      </c>
      <c r="B77" s="26" t="s">
        <v>270</v>
      </c>
      <c r="C77" s="27" t="s">
        <v>645</v>
      </c>
      <c r="D77" s="27" t="n">
        <v>9717055592</v>
      </c>
      <c r="E77" s="28" t="n">
        <f aca="false">61+168</f>
        <v>229</v>
      </c>
      <c r="F77" s="28" t="s">
        <v>104</v>
      </c>
    </row>
    <row r="78" customFormat="false" ht="15" hidden="false" customHeight="false" outlineLevel="0" collapsed="false">
      <c r="A78" s="26" t="s">
        <v>652</v>
      </c>
      <c r="B78" s="26" t="s">
        <v>270</v>
      </c>
      <c r="C78" s="27" t="s">
        <v>653</v>
      </c>
      <c r="D78" s="27" t="n">
        <v>7722421339</v>
      </c>
      <c r="E78" s="26" t="n">
        <v>223</v>
      </c>
      <c r="F78" s="28" t="s">
        <v>104</v>
      </c>
    </row>
    <row r="79" customFormat="false" ht="15" hidden="false" customHeight="false" outlineLevel="0" collapsed="false">
      <c r="A79" s="26" t="s">
        <v>660</v>
      </c>
      <c r="B79" s="26" t="s">
        <v>102</v>
      </c>
      <c r="C79" s="27" t="s">
        <v>661</v>
      </c>
      <c r="D79" s="27" t="n">
        <v>7734668490</v>
      </c>
      <c r="E79" s="28" t="n">
        <v>223</v>
      </c>
      <c r="F79" s="28" t="s">
        <v>104</v>
      </c>
    </row>
    <row r="80" customFormat="false" ht="15" hidden="false" customHeight="false" outlineLevel="0" collapsed="false">
      <c r="A80" s="26" t="s">
        <v>667</v>
      </c>
      <c r="B80" s="26" t="s">
        <v>270</v>
      </c>
      <c r="C80" s="27" t="s">
        <v>668</v>
      </c>
      <c r="D80" s="27" t="n">
        <v>7839120735</v>
      </c>
      <c r="E80" s="28" t="n">
        <v>206</v>
      </c>
      <c r="F80" s="28" t="s">
        <v>183</v>
      </c>
    </row>
    <row r="81" customFormat="false" ht="15" hidden="false" customHeight="false" outlineLevel="0" collapsed="false">
      <c r="A81" s="26" t="s">
        <v>676</v>
      </c>
      <c r="B81" s="26" t="s">
        <v>315</v>
      </c>
      <c r="C81" s="27" t="s">
        <v>677</v>
      </c>
      <c r="D81" s="27" t="n">
        <v>9705057490</v>
      </c>
      <c r="E81" s="28" t="n">
        <v>205</v>
      </c>
      <c r="F81" s="28" t="s">
        <v>104</v>
      </c>
    </row>
    <row r="82" customFormat="false" ht="15" hidden="false" customHeight="false" outlineLevel="0" collapsed="false">
      <c r="A82" s="26" t="s">
        <v>685</v>
      </c>
      <c r="B82" s="26" t="s">
        <v>153</v>
      </c>
      <c r="C82" s="27" t="s">
        <v>686</v>
      </c>
      <c r="D82" s="27" t="n">
        <v>7727355810</v>
      </c>
      <c r="E82" s="28" t="n">
        <v>203</v>
      </c>
      <c r="F82" s="28" t="s">
        <v>104</v>
      </c>
    </row>
    <row r="83" customFormat="false" ht="15" hidden="false" customHeight="false" outlineLevel="0" collapsed="false">
      <c r="A83" s="26" t="s">
        <v>696</v>
      </c>
      <c r="B83" s="26" t="s">
        <v>297</v>
      </c>
      <c r="C83" s="27" t="s">
        <v>697</v>
      </c>
      <c r="D83" s="27" t="n">
        <v>7713641585</v>
      </c>
      <c r="E83" s="28" t="n">
        <v>190</v>
      </c>
      <c r="F83" s="28" t="s">
        <v>104</v>
      </c>
    </row>
    <row r="84" customFormat="false" ht="15" hidden="false" customHeight="false" outlineLevel="0" collapsed="false">
      <c r="A84" s="26" t="s">
        <v>702</v>
      </c>
      <c r="B84" s="26" t="s">
        <v>153</v>
      </c>
      <c r="C84" s="27" t="s">
        <v>703</v>
      </c>
      <c r="D84" s="27" t="n">
        <v>7716207129</v>
      </c>
      <c r="E84" s="26" t="n">
        <v>187</v>
      </c>
      <c r="F84" s="28" t="s">
        <v>104</v>
      </c>
    </row>
    <row r="85" customFormat="false" ht="15" hidden="false" customHeight="false" outlineLevel="0" collapsed="false">
      <c r="A85" s="26" t="s">
        <v>709</v>
      </c>
      <c r="B85" s="26" t="s">
        <v>153</v>
      </c>
      <c r="C85" s="27" t="s">
        <v>710</v>
      </c>
      <c r="D85" s="27" t="n">
        <v>9729025070</v>
      </c>
      <c r="E85" s="28" t="n">
        <v>186</v>
      </c>
      <c r="F85" s="28" t="s">
        <v>104</v>
      </c>
    </row>
    <row r="86" customFormat="false" ht="15" hidden="false" customHeight="false" outlineLevel="0" collapsed="false">
      <c r="A86" s="26"/>
      <c r="B86" s="26" t="s">
        <v>315</v>
      </c>
      <c r="C86" s="27" t="s">
        <v>717</v>
      </c>
      <c r="D86" s="27" t="n">
        <v>5024230595</v>
      </c>
      <c r="E86" s="28" t="n">
        <v>186</v>
      </c>
      <c r="F86" s="28" t="s">
        <v>104</v>
      </c>
    </row>
    <row r="87" customFormat="false" ht="31.5" hidden="false" customHeight="true" outlineLevel="0" collapsed="false">
      <c r="A87" s="25" t="s">
        <v>724</v>
      </c>
      <c r="B87" s="26" t="s">
        <v>153</v>
      </c>
      <c r="C87" s="27" t="s">
        <v>725</v>
      </c>
      <c r="D87" s="27" t="n">
        <v>7727299604</v>
      </c>
      <c r="E87" s="28" t="n">
        <v>185</v>
      </c>
      <c r="F87" s="28" t="s">
        <v>104</v>
      </c>
    </row>
    <row r="88" customFormat="false" ht="15" hidden="false" customHeight="false" outlineLevel="0" collapsed="false">
      <c r="A88" s="26" t="s">
        <v>644</v>
      </c>
      <c r="B88" s="26" t="s">
        <v>270</v>
      </c>
      <c r="C88" s="27" t="s">
        <v>645</v>
      </c>
      <c r="D88" s="27" t="n">
        <v>9717055592</v>
      </c>
      <c r="E88" s="28" t="n">
        <v>169</v>
      </c>
      <c r="F88" s="28" t="s">
        <v>104</v>
      </c>
    </row>
    <row r="89" customFormat="false" ht="15" hidden="false" customHeight="false" outlineLevel="0" collapsed="false">
      <c r="A89" s="26" t="s">
        <v>733</v>
      </c>
      <c r="B89" s="26" t="s">
        <v>153</v>
      </c>
      <c r="C89" s="27" t="s">
        <v>734</v>
      </c>
      <c r="D89" s="27" t="n">
        <v>7743670583</v>
      </c>
      <c r="E89" s="28" t="n">
        <v>166</v>
      </c>
      <c r="F89" s="28" t="s">
        <v>104</v>
      </c>
    </row>
    <row r="90" customFormat="false" ht="15" hidden="false" customHeight="false" outlineLevel="0" collapsed="false">
      <c r="A90" s="26" t="s">
        <v>741</v>
      </c>
      <c r="B90" s="26" t="s">
        <v>153</v>
      </c>
      <c r="C90" s="27" t="s">
        <v>742</v>
      </c>
      <c r="D90" s="27" t="n">
        <v>6161094811</v>
      </c>
      <c r="E90" s="28" t="n">
        <v>166</v>
      </c>
      <c r="F90" s="28" t="s">
        <v>743</v>
      </c>
    </row>
    <row r="91" customFormat="false" ht="15" hidden="false" customHeight="false" outlineLevel="0" collapsed="false">
      <c r="A91" s="26" t="s">
        <v>750</v>
      </c>
      <c r="B91" s="26" t="s">
        <v>142</v>
      </c>
      <c r="C91" s="29" t="s">
        <v>751</v>
      </c>
      <c r="D91" s="27" t="n">
        <v>7704660863</v>
      </c>
      <c r="E91" s="28" t="n">
        <v>165</v>
      </c>
      <c r="F91" s="28" t="s">
        <v>104</v>
      </c>
    </row>
    <row r="92" customFormat="false" ht="15" hidden="false" customHeight="false" outlineLevel="0" collapsed="false">
      <c r="A92" s="26" t="s">
        <v>750</v>
      </c>
      <c r="B92" s="26" t="s">
        <v>142</v>
      </c>
      <c r="C92" s="27" t="s">
        <v>751</v>
      </c>
      <c r="D92" s="27" t="n">
        <v>7704660863</v>
      </c>
      <c r="E92" s="28" t="n">
        <v>165</v>
      </c>
      <c r="F92" s="28" t="s">
        <v>104</v>
      </c>
    </row>
    <row r="93" customFormat="false" ht="15" hidden="false" customHeight="false" outlineLevel="0" collapsed="false">
      <c r="A93" s="26" t="s">
        <v>758</v>
      </c>
      <c r="B93" s="26" t="s">
        <v>153</v>
      </c>
      <c r="C93" s="27" t="s">
        <v>759</v>
      </c>
      <c r="D93" s="27" t="n">
        <v>7736600352</v>
      </c>
      <c r="E93" s="28" t="n">
        <v>141</v>
      </c>
      <c r="F93" s="28" t="s">
        <v>104</v>
      </c>
    </row>
    <row r="94" customFormat="false" ht="15" hidden="false" customHeight="false" outlineLevel="0" collapsed="false">
      <c r="A94" s="26" t="s">
        <v>766</v>
      </c>
      <c r="B94" s="26" t="s">
        <v>153</v>
      </c>
      <c r="C94" s="27" t="s">
        <v>767</v>
      </c>
      <c r="D94" s="27" t="n">
        <v>7707833088</v>
      </c>
      <c r="E94" s="28" t="n">
        <v>138</v>
      </c>
      <c r="F94" s="28" t="s">
        <v>104</v>
      </c>
    </row>
    <row r="95" customFormat="false" ht="15" hidden="false" customHeight="false" outlineLevel="0" collapsed="false">
      <c r="A95" s="26"/>
      <c r="B95" s="26"/>
      <c r="C95" s="27" t="s">
        <v>773</v>
      </c>
      <c r="D95" s="27" t="n">
        <v>7722466700</v>
      </c>
      <c r="E95" s="28" t="n">
        <v>137</v>
      </c>
      <c r="F95" s="28" t="s">
        <v>104</v>
      </c>
    </row>
    <row r="96" customFormat="false" ht="15.75" hidden="false" customHeight="true" outlineLevel="0" collapsed="false">
      <c r="A96" s="25" t="s">
        <v>783</v>
      </c>
      <c r="B96" s="26" t="s">
        <v>153</v>
      </c>
      <c r="C96" s="27" t="s">
        <v>784</v>
      </c>
      <c r="D96" s="27" t="n">
        <v>7715748140</v>
      </c>
      <c r="E96" s="26" t="n">
        <v>130</v>
      </c>
      <c r="F96" s="28" t="s">
        <v>104</v>
      </c>
    </row>
    <row r="97" customFormat="false" ht="15" hidden="false" customHeight="false" outlineLevel="0" collapsed="false">
      <c r="A97" s="26" t="s">
        <v>790</v>
      </c>
      <c r="B97" s="26" t="s">
        <v>102</v>
      </c>
      <c r="C97" s="27" t="s">
        <v>791</v>
      </c>
      <c r="D97" s="27" t="n">
        <v>7715943158</v>
      </c>
      <c r="E97" s="28" t="n">
        <v>130</v>
      </c>
      <c r="F97" s="28" t="s">
        <v>104</v>
      </c>
    </row>
    <row r="98" customFormat="false" ht="15" hidden="false" customHeight="false" outlineLevel="0" collapsed="false">
      <c r="A98" s="26" t="s">
        <v>796</v>
      </c>
      <c r="B98" s="26" t="s">
        <v>270</v>
      </c>
      <c r="C98" s="27" t="s">
        <v>797</v>
      </c>
      <c r="D98" s="27" t="n">
        <v>7701375152</v>
      </c>
      <c r="E98" s="28" t="n">
        <v>122.5</v>
      </c>
      <c r="F98" s="28" t="s">
        <v>104</v>
      </c>
    </row>
    <row r="99" customFormat="false" ht="15" hidden="false" customHeight="false" outlineLevel="0" collapsed="false">
      <c r="A99" s="26" t="s">
        <v>804</v>
      </c>
      <c r="B99" s="26" t="s">
        <v>153</v>
      </c>
      <c r="C99" s="27" t="s">
        <v>805</v>
      </c>
      <c r="D99" s="27" t="n">
        <v>9715397382</v>
      </c>
      <c r="E99" s="28" t="n">
        <v>113</v>
      </c>
      <c r="F99" s="28" t="s">
        <v>104</v>
      </c>
    </row>
    <row r="100" customFormat="false" ht="15" hidden="false" customHeight="false" outlineLevel="0" collapsed="false">
      <c r="A100" s="26" t="s">
        <v>811</v>
      </c>
      <c r="B100" s="26" t="s">
        <v>153</v>
      </c>
      <c r="C100" s="27" t="s">
        <v>812</v>
      </c>
      <c r="D100" s="27" t="n">
        <v>7804652217</v>
      </c>
      <c r="E100" s="28" t="n">
        <v>113</v>
      </c>
      <c r="F100" s="28" t="s">
        <v>183</v>
      </c>
    </row>
    <row r="101" customFormat="false" ht="15" hidden="false" customHeight="false" outlineLevel="0" collapsed="false">
      <c r="A101" s="26" t="s">
        <v>804</v>
      </c>
      <c r="B101" s="26" t="s">
        <v>153</v>
      </c>
      <c r="C101" s="27" t="s">
        <v>805</v>
      </c>
      <c r="D101" s="27" t="n">
        <v>9715397382</v>
      </c>
      <c r="E101" s="28" t="n">
        <v>113</v>
      </c>
      <c r="F101" s="28" t="s">
        <v>104</v>
      </c>
    </row>
    <row r="102" customFormat="false" ht="15" hidden="false" customHeight="false" outlineLevel="0" collapsed="false">
      <c r="A102" s="26" t="s">
        <v>818</v>
      </c>
      <c r="B102" s="26" t="s">
        <v>153</v>
      </c>
      <c r="C102" s="27" t="s">
        <v>819</v>
      </c>
      <c r="D102" s="27" t="n">
        <v>7802534070</v>
      </c>
      <c r="E102" s="28" t="n">
        <v>111</v>
      </c>
      <c r="F102" s="26" t="s">
        <v>183</v>
      </c>
    </row>
    <row r="103" customFormat="false" ht="15" hidden="false" customHeight="false" outlineLevel="0" collapsed="false">
      <c r="A103" s="26" t="s">
        <v>826</v>
      </c>
      <c r="B103" s="26" t="s">
        <v>153</v>
      </c>
      <c r="C103" s="29" t="s">
        <v>827</v>
      </c>
      <c r="D103" s="29" t="n">
        <v>5405302721</v>
      </c>
      <c r="E103" s="28" t="n">
        <v>108</v>
      </c>
      <c r="F103" s="28" t="s">
        <v>828</v>
      </c>
    </row>
    <row r="104" customFormat="false" ht="15" hidden="false" customHeight="false" outlineLevel="0" collapsed="false">
      <c r="A104" s="26" t="s">
        <v>39</v>
      </c>
      <c r="B104" s="26" t="s">
        <v>153</v>
      </c>
      <c r="C104" s="27" t="s">
        <v>838</v>
      </c>
      <c r="D104" s="27" t="n">
        <v>9701033160</v>
      </c>
      <c r="E104" s="28" t="n">
        <v>106</v>
      </c>
      <c r="F104" s="28" t="s">
        <v>104</v>
      </c>
    </row>
    <row r="105" customFormat="false" ht="15" hidden="false" customHeight="false" outlineLevel="0" collapsed="false">
      <c r="A105" s="26" t="s">
        <v>39</v>
      </c>
      <c r="B105" s="26" t="s">
        <v>153</v>
      </c>
      <c r="C105" s="27" t="s">
        <v>838</v>
      </c>
      <c r="D105" s="27" t="n">
        <v>9701033160</v>
      </c>
      <c r="E105" s="28" t="n">
        <v>106</v>
      </c>
      <c r="F105" s="28" t="s">
        <v>104</v>
      </c>
    </row>
    <row r="106" customFormat="false" ht="15" hidden="false" customHeight="false" outlineLevel="0" collapsed="false">
      <c r="A106" s="26" t="s">
        <v>845</v>
      </c>
      <c r="B106" s="26" t="s">
        <v>226</v>
      </c>
      <c r="C106" s="27" t="s">
        <v>846</v>
      </c>
      <c r="D106" s="27" t="n">
        <v>7735151538</v>
      </c>
      <c r="E106" s="26" t="n">
        <v>104</v>
      </c>
      <c r="F106" s="28" t="s">
        <v>104</v>
      </c>
    </row>
    <row r="107" customFormat="false" ht="15" hidden="false" customHeight="false" outlineLevel="0" collapsed="false">
      <c r="A107" s="26" t="s">
        <v>854</v>
      </c>
      <c r="B107" s="26" t="s">
        <v>153</v>
      </c>
      <c r="C107" s="27" t="s">
        <v>855</v>
      </c>
      <c r="D107" s="27" t="n">
        <v>6685164199</v>
      </c>
      <c r="E107" s="26" t="n">
        <v>102</v>
      </c>
      <c r="F107" s="28" t="s">
        <v>434</v>
      </c>
    </row>
    <row r="108" customFormat="false" ht="15" hidden="false" customHeight="false" outlineLevel="0" collapsed="false">
      <c r="A108" s="26" t="s">
        <v>862</v>
      </c>
      <c r="B108" s="26" t="s">
        <v>153</v>
      </c>
      <c r="C108" s="27" t="s">
        <v>863</v>
      </c>
      <c r="D108" s="27" t="n">
        <v>7717716792</v>
      </c>
      <c r="E108" s="28" t="n">
        <v>98</v>
      </c>
      <c r="F108" s="28" t="s">
        <v>104</v>
      </c>
    </row>
    <row r="109" customFormat="false" ht="15" hidden="false" customHeight="false" outlineLevel="0" collapsed="false">
      <c r="A109" s="26" t="s">
        <v>869</v>
      </c>
      <c r="B109" s="26" t="s">
        <v>226</v>
      </c>
      <c r="C109" s="27" t="s">
        <v>870</v>
      </c>
      <c r="D109" s="27" t="n">
        <v>7841481440</v>
      </c>
      <c r="E109" s="28" t="n">
        <v>97</v>
      </c>
      <c r="F109" s="28" t="s">
        <v>183</v>
      </c>
    </row>
    <row r="110" customFormat="false" ht="15" hidden="false" customHeight="false" outlineLevel="0" collapsed="false">
      <c r="A110" s="26" t="s">
        <v>878</v>
      </c>
      <c r="B110" s="26" t="s">
        <v>315</v>
      </c>
      <c r="C110" s="26" t="s">
        <v>879</v>
      </c>
      <c r="D110" s="27" t="n">
        <v>9722044395</v>
      </c>
      <c r="E110" s="28" t="n">
        <v>95</v>
      </c>
      <c r="F110" s="28" t="s">
        <v>104</v>
      </c>
    </row>
    <row r="111" customFormat="false" ht="15" hidden="false" customHeight="false" outlineLevel="0" collapsed="false">
      <c r="A111" s="26" t="s">
        <v>887</v>
      </c>
      <c r="B111" s="26" t="s">
        <v>142</v>
      </c>
      <c r="C111" s="27" t="s">
        <v>888</v>
      </c>
      <c r="D111" s="27" t="n">
        <v>7813380859</v>
      </c>
      <c r="E111" s="28" t="n">
        <v>94</v>
      </c>
      <c r="F111" s="28" t="s">
        <v>183</v>
      </c>
    </row>
    <row r="112" customFormat="false" ht="15" hidden="false" customHeight="false" outlineLevel="0" collapsed="false">
      <c r="A112" s="26" t="s">
        <v>893</v>
      </c>
      <c r="B112" s="26" t="s">
        <v>315</v>
      </c>
      <c r="C112" s="27" t="s">
        <v>894</v>
      </c>
      <c r="D112" s="27" t="n">
        <v>7840101254</v>
      </c>
      <c r="E112" s="26" t="n">
        <v>88</v>
      </c>
      <c r="F112" s="26" t="s">
        <v>183</v>
      </c>
    </row>
    <row r="113" customFormat="false" ht="15" hidden="false" customHeight="false" outlineLevel="0" collapsed="false">
      <c r="A113" s="26" t="s">
        <v>902</v>
      </c>
      <c r="B113" s="26" t="s">
        <v>153</v>
      </c>
      <c r="C113" s="27" t="s">
        <v>903</v>
      </c>
      <c r="D113" s="27" t="n">
        <v>7839346059</v>
      </c>
      <c r="E113" s="26" t="n">
        <v>88</v>
      </c>
      <c r="F113" s="26" t="s">
        <v>183</v>
      </c>
    </row>
    <row r="114" customFormat="false" ht="15" hidden="false" customHeight="false" outlineLevel="0" collapsed="false">
      <c r="A114" s="26" t="s">
        <v>908</v>
      </c>
      <c r="B114" s="26" t="s">
        <v>142</v>
      </c>
      <c r="C114" s="27" t="s">
        <v>909</v>
      </c>
      <c r="D114" s="27" t="n">
        <v>7724850622</v>
      </c>
      <c r="E114" s="28" t="n">
        <v>85</v>
      </c>
      <c r="F114" s="28" t="s">
        <v>104</v>
      </c>
    </row>
    <row r="115" customFormat="false" ht="15" hidden="false" customHeight="false" outlineLevel="0" collapsed="false">
      <c r="A115" s="26" t="s">
        <v>914</v>
      </c>
      <c r="B115" s="26" t="s">
        <v>153</v>
      </c>
      <c r="C115" s="27" t="s">
        <v>915</v>
      </c>
      <c r="D115" s="27" t="n">
        <v>7743902996</v>
      </c>
      <c r="E115" s="26" t="n">
        <v>82</v>
      </c>
      <c r="F115" s="28" t="s">
        <v>104</v>
      </c>
    </row>
    <row r="116" customFormat="false" ht="15" hidden="false" customHeight="false" outlineLevel="0" collapsed="false">
      <c r="A116" s="26" t="s">
        <v>921</v>
      </c>
      <c r="B116" s="26" t="s">
        <v>315</v>
      </c>
      <c r="C116" s="27" t="s">
        <v>922</v>
      </c>
      <c r="D116" s="27" t="n">
        <v>6678097382</v>
      </c>
      <c r="E116" s="28" t="n">
        <v>78</v>
      </c>
      <c r="F116" s="28" t="s">
        <v>434</v>
      </c>
    </row>
    <row r="117" customFormat="false" ht="15" hidden="false" customHeight="false" outlineLevel="0" collapsed="false">
      <c r="A117" s="26" t="s">
        <v>929</v>
      </c>
      <c r="B117" s="26" t="s">
        <v>102</v>
      </c>
      <c r="C117" s="27" t="s">
        <v>930</v>
      </c>
      <c r="D117" s="27" t="n">
        <v>5044115093</v>
      </c>
      <c r="E117" s="28" t="n">
        <v>73</v>
      </c>
      <c r="F117" s="28" t="s">
        <v>471</v>
      </c>
    </row>
    <row r="118" customFormat="false" ht="15.75" hidden="false" customHeight="true" outlineLevel="0" collapsed="false">
      <c r="A118" s="25" t="s">
        <v>932</v>
      </c>
      <c r="B118" s="26" t="s">
        <v>153</v>
      </c>
      <c r="C118" s="27" t="s">
        <v>933</v>
      </c>
      <c r="D118" s="27" t="n">
        <v>5902869983</v>
      </c>
      <c r="E118" s="28" t="n">
        <v>73</v>
      </c>
      <c r="F118" s="28" t="s">
        <v>934</v>
      </c>
    </row>
    <row r="119" customFormat="false" ht="15" hidden="false" customHeight="false" outlineLevel="0" collapsed="false">
      <c r="A119" s="26" t="s">
        <v>941</v>
      </c>
      <c r="B119" s="26" t="s">
        <v>142</v>
      </c>
      <c r="C119" s="27" t="s">
        <v>942</v>
      </c>
      <c r="D119" s="27" t="n">
        <v>7715981403</v>
      </c>
      <c r="E119" s="28" t="n">
        <v>71</v>
      </c>
      <c r="F119" s="28" t="s">
        <v>104</v>
      </c>
    </row>
    <row r="120" customFormat="false" ht="15" hidden="false" customHeight="false" outlineLevel="0" collapsed="false">
      <c r="A120" s="26" t="s">
        <v>952</v>
      </c>
      <c r="B120" s="26" t="s">
        <v>315</v>
      </c>
      <c r="C120" s="27" t="s">
        <v>953</v>
      </c>
      <c r="D120" s="27" t="n">
        <v>6658363893</v>
      </c>
      <c r="E120" s="28" t="n">
        <v>71</v>
      </c>
      <c r="F120" s="28" t="s">
        <v>434</v>
      </c>
    </row>
    <row r="121" customFormat="false" ht="15" hidden="false" customHeight="false" outlineLevel="0" collapsed="false">
      <c r="A121" s="26" t="s">
        <v>962</v>
      </c>
      <c r="B121" s="26" t="s">
        <v>226</v>
      </c>
      <c r="C121" s="29" t="s">
        <v>963</v>
      </c>
      <c r="D121" s="29" t="n">
        <v>9715388846</v>
      </c>
      <c r="E121" s="28" t="n">
        <v>70</v>
      </c>
      <c r="F121" s="28" t="s">
        <v>104</v>
      </c>
    </row>
    <row r="122" customFormat="false" ht="15" hidden="false" customHeight="false" outlineLevel="0" collapsed="false">
      <c r="A122" s="26" t="s">
        <v>969</v>
      </c>
      <c r="B122" s="26" t="s">
        <v>153</v>
      </c>
      <c r="C122" s="27" t="s">
        <v>970</v>
      </c>
      <c r="D122" s="27" t="n">
        <v>9715309001</v>
      </c>
      <c r="E122" s="26" t="n">
        <v>70</v>
      </c>
      <c r="F122" s="28" t="s">
        <v>104</v>
      </c>
    </row>
    <row r="123" customFormat="false" ht="15" hidden="false" customHeight="false" outlineLevel="0" collapsed="false">
      <c r="A123" s="26" t="s">
        <v>972</v>
      </c>
      <c r="B123" s="26" t="s">
        <v>535</v>
      </c>
      <c r="C123" s="27" t="s">
        <v>973</v>
      </c>
      <c r="D123" s="27" t="n">
        <v>7708631849</v>
      </c>
      <c r="E123" s="28" t="n">
        <v>66</v>
      </c>
      <c r="F123" s="28" t="s">
        <v>104</v>
      </c>
    </row>
    <row r="124" customFormat="false" ht="15" hidden="false" customHeight="false" outlineLevel="0" collapsed="false">
      <c r="A124" s="26" t="s">
        <v>978</v>
      </c>
      <c r="B124" s="26" t="s">
        <v>153</v>
      </c>
      <c r="C124" s="27" t="s">
        <v>979</v>
      </c>
      <c r="D124" s="27" t="n">
        <v>1655320998</v>
      </c>
      <c r="E124" s="28" t="n">
        <v>66</v>
      </c>
      <c r="F124" s="28" t="s">
        <v>574</v>
      </c>
    </row>
    <row r="125" customFormat="false" ht="15" hidden="false" customHeight="false" outlineLevel="0" collapsed="false">
      <c r="A125" s="26" t="s">
        <v>986</v>
      </c>
      <c r="B125" s="26" t="s">
        <v>371</v>
      </c>
      <c r="C125" s="27" t="s">
        <v>987</v>
      </c>
      <c r="D125" s="27" t="n">
        <v>7704824984</v>
      </c>
      <c r="E125" s="26" t="n">
        <v>61</v>
      </c>
      <c r="F125" s="28" t="s">
        <v>104</v>
      </c>
    </row>
    <row r="126" customFormat="false" ht="15" hidden="false" customHeight="false" outlineLevel="0" collapsed="false">
      <c r="A126" s="26" t="s">
        <v>63</v>
      </c>
      <c r="B126" s="26"/>
      <c r="C126" s="27" t="s">
        <v>993</v>
      </c>
      <c r="D126" s="27" t="n">
        <v>7714916680</v>
      </c>
      <c r="E126" s="26" t="n">
        <v>54</v>
      </c>
      <c r="F126" s="28" t="s">
        <v>104</v>
      </c>
    </row>
    <row r="127" customFormat="false" ht="15" hidden="false" customHeight="false" outlineLevel="0" collapsed="false">
      <c r="A127" s="26" t="s">
        <v>1002</v>
      </c>
      <c r="B127" s="26" t="s">
        <v>153</v>
      </c>
      <c r="C127" s="27" t="s">
        <v>1003</v>
      </c>
      <c r="D127" s="27" t="n">
        <v>7724812112</v>
      </c>
      <c r="E127" s="28" t="n">
        <v>53</v>
      </c>
      <c r="F127" s="28" t="s">
        <v>104</v>
      </c>
    </row>
    <row r="128" customFormat="false" ht="15" hidden="false" customHeight="false" outlineLevel="0" collapsed="false">
      <c r="A128" s="26" t="s">
        <v>1009</v>
      </c>
      <c r="B128" s="26" t="s">
        <v>153</v>
      </c>
      <c r="C128" s="27" t="s">
        <v>1010</v>
      </c>
      <c r="D128" s="27" t="n">
        <v>6166088096</v>
      </c>
      <c r="E128" s="28" t="n">
        <v>52</v>
      </c>
      <c r="F128" s="28" t="s">
        <v>743</v>
      </c>
    </row>
    <row r="129" customFormat="false" ht="15" hidden="false" customHeight="false" outlineLevel="0" collapsed="false">
      <c r="A129" s="26" t="s">
        <v>1119</v>
      </c>
      <c r="B129" s="26" t="s">
        <v>153</v>
      </c>
      <c r="C129" s="27" t="s">
        <v>1120</v>
      </c>
      <c r="D129" s="27" t="n">
        <v>7707512824</v>
      </c>
      <c r="E129" s="28" t="n">
        <v>49</v>
      </c>
      <c r="F129" s="28" t="s">
        <v>104</v>
      </c>
    </row>
    <row r="130" customFormat="false" ht="15" hidden="false" customHeight="false" outlineLevel="0" collapsed="false">
      <c r="A130" s="26" t="s">
        <v>1121</v>
      </c>
      <c r="B130" s="26" t="s">
        <v>153</v>
      </c>
      <c r="C130" s="27" t="s">
        <v>1122</v>
      </c>
      <c r="D130" s="27" t="n">
        <v>7743897457</v>
      </c>
      <c r="E130" s="28" t="n">
        <v>47</v>
      </c>
      <c r="F130" s="28" t="s">
        <v>104</v>
      </c>
    </row>
    <row r="131" customFormat="false" ht="15" hidden="false" customHeight="false" outlineLevel="0" collapsed="false">
      <c r="A131" s="26" t="s">
        <v>1123</v>
      </c>
      <c r="B131" s="26" t="s">
        <v>142</v>
      </c>
      <c r="C131" s="27" t="s">
        <v>1124</v>
      </c>
      <c r="D131" s="27" t="n">
        <v>7726639505</v>
      </c>
      <c r="E131" s="28" t="n">
        <v>47</v>
      </c>
      <c r="F131" s="28" t="s">
        <v>104</v>
      </c>
    </row>
    <row r="132" customFormat="false" ht="15" hidden="false" customHeight="false" outlineLevel="0" collapsed="false">
      <c r="A132" s="26" t="s">
        <v>1125</v>
      </c>
      <c r="B132" s="26" t="s">
        <v>535</v>
      </c>
      <c r="C132" s="27" t="s">
        <v>1126</v>
      </c>
      <c r="D132" s="27" t="n">
        <v>7743369320</v>
      </c>
      <c r="E132" s="28" t="n">
        <v>43</v>
      </c>
      <c r="F132" s="28" t="s">
        <v>104</v>
      </c>
    </row>
    <row r="133" customFormat="false" ht="15" hidden="false" customHeight="false" outlineLevel="0" collapsed="false">
      <c r="A133" s="26" t="s">
        <v>1127</v>
      </c>
      <c r="B133" s="26" t="s">
        <v>226</v>
      </c>
      <c r="C133" s="27" t="s">
        <v>1128</v>
      </c>
      <c r="D133" s="27" t="n">
        <v>7731468319</v>
      </c>
      <c r="E133" s="28" t="n">
        <v>41</v>
      </c>
      <c r="F133" s="28" t="s">
        <v>104</v>
      </c>
    </row>
    <row r="134" customFormat="false" ht="15" hidden="false" customHeight="false" outlineLevel="0" collapsed="false">
      <c r="A134" s="26" t="s">
        <v>1129</v>
      </c>
      <c r="B134" s="26" t="s">
        <v>153</v>
      </c>
      <c r="C134" s="27" t="s">
        <v>1130</v>
      </c>
      <c r="D134" s="27" t="n">
        <v>6658329469</v>
      </c>
      <c r="E134" s="28" t="n">
        <v>39.5</v>
      </c>
      <c r="F134" s="28" t="s">
        <v>434</v>
      </c>
    </row>
    <row r="135" customFormat="false" ht="15" hidden="false" customHeight="false" outlineLevel="0" collapsed="false">
      <c r="A135" s="26" t="s">
        <v>1131</v>
      </c>
      <c r="B135" s="26" t="s">
        <v>1132</v>
      </c>
      <c r="C135" s="27" t="s">
        <v>1133</v>
      </c>
      <c r="D135" s="26"/>
      <c r="E135" s="28" t="n">
        <v>36</v>
      </c>
      <c r="F135" s="28" t="s">
        <v>104</v>
      </c>
    </row>
    <row r="136" customFormat="false" ht="15" hidden="false" customHeight="false" outlineLevel="0" collapsed="false">
      <c r="A136" s="26" t="s">
        <v>1134</v>
      </c>
      <c r="B136" s="26" t="s">
        <v>153</v>
      </c>
      <c r="C136" s="27" t="s">
        <v>1135</v>
      </c>
      <c r="D136" s="27" t="n">
        <v>4003039123</v>
      </c>
      <c r="E136" s="28" t="n">
        <v>35.3</v>
      </c>
      <c r="F136" s="28"/>
    </row>
    <row r="137" customFormat="false" ht="15" hidden="false" customHeight="false" outlineLevel="0" collapsed="false">
      <c r="A137" s="26" t="s">
        <v>1136</v>
      </c>
      <c r="B137" s="26" t="s">
        <v>153</v>
      </c>
      <c r="C137" s="29" t="s">
        <v>1137</v>
      </c>
      <c r="D137" s="27" t="s">
        <v>1138</v>
      </c>
      <c r="E137" s="28" t="n">
        <v>35</v>
      </c>
      <c r="F137" s="28" t="s">
        <v>104</v>
      </c>
    </row>
    <row r="138" customFormat="false" ht="15" hidden="false" customHeight="false" outlineLevel="0" collapsed="false">
      <c r="A138" s="26" t="s">
        <v>1139</v>
      </c>
      <c r="B138" s="26" t="s">
        <v>458</v>
      </c>
      <c r="C138" s="27" t="s">
        <v>1140</v>
      </c>
      <c r="D138" s="27" t="n">
        <v>7717684029</v>
      </c>
      <c r="E138" s="26" t="n">
        <v>35</v>
      </c>
      <c r="F138" s="28" t="s">
        <v>104</v>
      </c>
    </row>
    <row r="139" customFormat="false" ht="15" hidden="false" customHeight="false" outlineLevel="0" collapsed="false">
      <c r="A139" s="26" t="s">
        <v>1141</v>
      </c>
      <c r="B139" s="26" t="s">
        <v>153</v>
      </c>
      <c r="C139" s="29" t="s">
        <v>1142</v>
      </c>
      <c r="D139" s="27" t="n">
        <v>6670485048</v>
      </c>
      <c r="E139" s="28" t="n">
        <v>30</v>
      </c>
      <c r="F139" s="28" t="s">
        <v>434</v>
      </c>
    </row>
    <row r="140" customFormat="false" ht="15" hidden="false" customHeight="false" outlineLevel="0" collapsed="false">
      <c r="A140" s="26" t="s">
        <v>1143</v>
      </c>
      <c r="B140" s="26" t="s">
        <v>153</v>
      </c>
      <c r="C140" s="27" t="s">
        <v>1144</v>
      </c>
      <c r="D140" s="27" t="n">
        <v>7729579614</v>
      </c>
      <c r="E140" s="28" t="n">
        <v>29</v>
      </c>
      <c r="F140" s="28" t="s">
        <v>104</v>
      </c>
    </row>
    <row r="141" customFormat="false" ht="15" hidden="false" customHeight="false" outlineLevel="0" collapsed="false">
      <c r="A141" s="26" t="s">
        <v>1145</v>
      </c>
      <c r="B141" s="26" t="s">
        <v>226</v>
      </c>
      <c r="C141" s="27" t="s">
        <v>1146</v>
      </c>
      <c r="D141" s="27" t="n">
        <v>7743381461</v>
      </c>
      <c r="E141" s="28" t="n">
        <v>27</v>
      </c>
      <c r="F141" s="28" t="s">
        <v>104</v>
      </c>
    </row>
    <row r="142" customFormat="false" ht="15" hidden="false" customHeight="false" outlineLevel="0" collapsed="false">
      <c r="A142" s="26" t="s">
        <v>1147</v>
      </c>
      <c r="B142" s="26" t="s">
        <v>153</v>
      </c>
      <c r="C142" s="27" t="s">
        <v>1148</v>
      </c>
      <c r="D142" s="27" t="n">
        <v>7703361885</v>
      </c>
      <c r="E142" s="28" t="n">
        <v>20</v>
      </c>
      <c r="F142" s="28" t="s">
        <v>104</v>
      </c>
    </row>
    <row r="143" customFormat="false" ht="15" hidden="false" customHeight="false" outlineLevel="0" collapsed="false">
      <c r="A143" s="26" t="s">
        <v>1149</v>
      </c>
      <c r="B143" s="26" t="s">
        <v>315</v>
      </c>
      <c r="C143" s="27" t="s">
        <v>1150</v>
      </c>
      <c r="D143" s="27" t="n">
        <v>7724473251</v>
      </c>
      <c r="E143" s="28" t="n">
        <v>17</v>
      </c>
      <c r="F143" s="28" t="s">
        <v>104</v>
      </c>
    </row>
    <row r="144" customFormat="false" ht="15" hidden="false" customHeight="false" outlineLevel="0" collapsed="false">
      <c r="A144" s="26" t="s">
        <v>1151</v>
      </c>
      <c r="B144" s="26" t="s">
        <v>315</v>
      </c>
      <c r="C144" s="27" t="s">
        <v>1152</v>
      </c>
      <c r="D144" s="27" t="n">
        <v>7708348207</v>
      </c>
      <c r="E144" s="28" t="n">
        <v>16</v>
      </c>
      <c r="F144" s="28" t="s">
        <v>104</v>
      </c>
    </row>
    <row r="145" customFormat="false" ht="15" hidden="false" customHeight="false" outlineLevel="0" collapsed="false">
      <c r="A145" s="26" t="s">
        <v>862</v>
      </c>
      <c r="B145" s="26" t="s">
        <v>153</v>
      </c>
      <c r="C145" s="27" t="s">
        <v>863</v>
      </c>
      <c r="D145" s="27" t="n">
        <v>7713470330</v>
      </c>
      <c r="E145" s="28" t="n">
        <v>10</v>
      </c>
      <c r="F145" s="28" t="s">
        <v>104</v>
      </c>
    </row>
    <row r="146" customFormat="false" ht="15" hidden="false" customHeight="false" outlineLevel="0" collapsed="false">
      <c r="A146" s="26" t="s">
        <v>1153</v>
      </c>
      <c r="B146" s="26" t="s">
        <v>226</v>
      </c>
      <c r="C146" s="27" t="s">
        <v>1154</v>
      </c>
      <c r="D146" s="27" t="n">
        <v>6168105580</v>
      </c>
      <c r="E146" s="28" t="n">
        <v>10</v>
      </c>
      <c r="F146" s="28"/>
    </row>
    <row r="147" customFormat="false" ht="15" hidden="false" customHeight="false" outlineLevel="0" collapsed="false">
      <c r="A147" s="26" t="s">
        <v>1155</v>
      </c>
      <c r="B147" s="26" t="s">
        <v>153</v>
      </c>
      <c r="C147" s="27" t="s">
        <v>1156</v>
      </c>
      <c r="D147" s="27" t="n">
        <v>7814471636</v>
      </c>
      <c r="E147" s="26" t="n">
        <v>8</v>
      </c>
      <c r="F147" s="26" t="s">
        <v>183</v>
      </c>
    </row>
    <row r="148" customFormat="false" ht="15" hidden="false" customHeight="false" outlineLevel="0" collapsed="false">
      <c r="A148" s="26" t="s">
        <v>1157</v>
      </c>
      <c r="B148" s="26" t="s">
        <v>153</v>
      </c>
      <c r="C148" s="27" t="s">
        <v>1158</v>
      </c>
      <c r="D148" s="27" t="n">
        <v>7814271468</v>
      </c>
      <c r="E148" s="26" t="n">
        <v>8</v>
      </c>
      <c r="F148" s="26" t="s">
        <v>183</v>
      </c>
    </row>
    <row r="149" customFormat="false" ht="15" hidden="false" customHeight="false" outlineLevel="0" collapsed="false">
      <c r="A149" s="26" t="s">
        <v>1159</v>
      </c>
      <c r="B149" s="26" t="s">
        <v>153</v>
      </c>
      <c r="C149" s="27" t="s">
        <v>1160</v>
      </c>
      <c r="D149" s="27" t="n">
        <v>9729083315</v>
      </c>
      <c r="E149" s="26" t="n">
        <v>7</v>
      </c>
      <c r="F149" s="28" t="s">
        <v>104</v>
      </c>
    </row>
    <row r="150" customFormat="false" ht="15" hidden="false" customHeight="false" outlineLevel="0" collapsed="false">
      <c r="A150" s="26" t="s">
        <v>1161</v>
      </c>
      <c r="B150" s="26" t="s">
        <v>226</v>
      </c>
      <c r="C150" s="27" t="s">
        <v>870</v>
      </c>
      <c r="D150" s="27" t="n">
        <v>7814715265</v>
      </c>
      <c r="E150" s="28" t="n">
        <v>7</v>
      </c>
      <c r="F150" s="28" t="s">
        <v>183</v>
      </c>
    </row>
    <row r="151" customFormat="false" ht="15" hidden="false" customHeight="false" outlineLevel="0" collapsed="false">
      <c r="A151" s="26" t="s">
        <v>1162</v>
      </c>
      <c r="B151" s="26" t="s">
        <v>535</v>
      </c>
      <c r="C151" s="27" t="s">
        <v>1163</v>
      </c>
      <c r="D151" s="27" t="n">
        <v>7451390645</v>
      </c>
      <c r="E151" s="28" t="n">
        <v>5</v>
      </c>
      <c r="F151" s="28" t="s">
        <v>104</v>
      </c>
    </row>
    <row r="152" customFormat="false" ht="15" hidden="false" customHeight="false" outlineLevel="0" collapsed="false">
      <c r="A152" s="26" t="s">
        <v>1164</v>
      </c>
      <c r="B152" s="26" t="s">
        <v>153</v>
      </c>
      <c r="C152" s="27" t="s">
        <v>1165</v>
      </c>
      <c r="D152" s="27" t="n">
        <v>7731388021</v>
      </c>
      <c r="E152" s="28" t="n">
        <v>4</v>
      </c>
      <c r="F152" s="28" t="s">
        <v>104</v>
      </c>
    </row>
    <row r="153" customFormat="false" ht="15" hidden="false" customHeight="false" outlineLevel="0" collapsed="false">
      <c r="A153" s="26" t="s">
        <v>1166</v>
      </c>
      <c r="B153" s="26" t="s">
        <v>142</v>
      </c>
      <c r="C153" s="27" t="s">
        <v>1167</v>
      </c>
      <c r="D153" s="27" t="n">
        <v>7728451354</v>
      </c>
      <c r="E153" s="26" t="n">
        <v>4</v>
      </c>
      <c r="F153" s="28" t="s">
        <v>104</v>
      </c>
    </row>
    <row r="154" customFormat="false" ht="15" hidden="false" customHeight="false" outlineLevel="0" collapsed="false">
      <c r="A154" s="26" t="s">
        <v>1168</v>
      </c>
      <c r="B154" s="26" t="s">
        <v>153</v>
      </c>
      <c r="C154" s="27" t="s">
        <v>1169</v>
      </c>
      <c r="D154" s="27" t="n">
        <v>7801648854</v>
      </c>
      <c r="E154" s="26" t="n">
        <v>3</v>
      </c>
      <c r="F154" s="26" t="s">
        <v>183</v>
      </c>
    </row>
    <row r="155" customFormat="false" ht="15" hidden="false" customHeight="false" outlineLevel="0" collapsed="false">
      <c r="A155" s="26" t="s">
        <v>1170</v>
      </c>
      <c r="B155" s="26" t="s">
        <v>153</v>
      </c>
      <c r="C155" s="27" t="s">
        <v>1171</v>
      </c>
      <c r="D155" s="27" t="n">
        <v>7718885881</v>
      </c>
      <c r="E155" s="28" t="n">
        <v>2.6</v>
      </c>
      <c r="F155" s="28" t="s">
        <v>104</v>
      </c>
    </row>
    <row r="156" customFormat="false" ht="15" hidden="false" customHeight="false" outlineLevel="0" collapsed="false">
      <c r="A156" s="26" t="s">
        <v>1172</v>
      </c>
      <c r="B156" s="26" t="s">
        <v>153</v>
      </c>
      <c r="C156" s="29" t="s">
        <v>1173</v>
      </c>
      <c r="D156" s="27" t="n">
        <v>5012097765</v>
      </c>
      <c r="E156" s="28" t="n">
        <v>2</v>
      </c>
      <c r="F156" s="28" t="s">
        <v>471</v>
      </c>
    </row>
    <row r="157" customFormat="false" ht="15" hidden="false" customHeight="false" outlineLevel="0" collapsed="false">
      <c r="A157" s="26" t="s">
        <v>1174</v>
      </c>
      <c r="B157" s="26" t="s">
        <v>1175</v>
      </c>
      <c r="C157" s="27" t="s">
        <v>1176</v>
      </c>
      <c r="D157" s="27" t="s">
        <v>1177</v>
      </c>
      <c r="E157" s="28"/>
      <c r="F157" s="28" t="s">
        <v>104</v>
      </c>
    </row>
    <row r="158" customFormat="false" ht="31.5" hidden="false" customHeight="true" outlineLevel="0" collapsed="false">
      <c r="A158" s="26" t="s">
        <v>1178</v>
      </c>
      <c r="B158" s="26" t="s">
        <v>270</v>
      </c>
      <c r="C158" s="27" t="s">
        <v>1179</v>
      </c>
      <c r="D158" s="25" t="s">
        <v>1180</v>
      </c>
      <c r="E158" s="28"/>
      <c r="F158" s="28" t="s">
        <v>104</v>
      </c>
    </row>
    <row r="159" customFormat="false" ht="15" hidden="false" customHeight="false" outlineLevel="0" collapsed="false">
      <c r="A159" s="26" t="s">
        <v>1181</v>
      </c>
      <c r="B159" s="26" t="s">
        <v>315</v>
      </c>
      <c r="C159" s="27" t="s">
        <v>1182</v>
      </c>
      <c r="D159" s="26"/>
      <c r="E159" s="26"/>
      <c r="F159" s="28" t="s">
        <v>434</v>
      </c>
    </row>
    <row r="160" customFormat="false" ht="15" hidden="false" customHeight="false" outlineLevel="0" collapsed="false">
      <c r="A160" s="26" t="s">
        <v>1183</v>
      </c>
      <c r="B160" s="26" t="s">
        <v>226</v>
      </c>
      <c r="C160" s="27" t="s">
        <v>1184</v>
      </c>
      <c r="D160" s="26"/>
      <c r="E160" s="28"/>
      <c r="F160" s="28" t="s">
        <v>104</v>
      </c>
    </row>
    <row r="161" customFormat="false" ht="15" hidden="false" customHeight="false" outlineLevel="0" collapsed="false">
      <c r="A161" s="26" t="s">
        <v>1185</v>
      </c>
      <c r="B161" s="26" t="s">
        <v>315</v>
      </c>
      <c r="C161" s="27" t="s">
        <v>1186</v>
      </c>
      <c r="D161" s="27" t="n">
        <v>5074085368</v>
      </c>
      <c r="E161" s="28"/>
      <c r="F161" s="28" t="s">
        <v>471</v>
      </c>
    </row>
    <row r="162" customFormat="false" ht="15" hidden="false" customHeight="false" outlineLevel="0" collapsed="false">
      <c r="A162" s="26" t="s">
        <v>1187</v>
      </c>
      <c r="B162" s="26" t="s">
        <v>153</v>
      </c>
      <c r="C162" s="27" t="s">
        <v>1188</v>
      </c>
      <c r="D162" s="26"/>
      <c r="E162" s="28"/>
      <c r="F162" s="28" t="s">
        <v>104</v>
      </c>
    </row>
    <row r="163" customFormat="false" ht="15" hidden="false" customHeight="false" outlineLevel="0" collapsed="false">
      <c r="A163" s="26" t="s">
        <v>1189</v>
      </c>
      <c r="B163" s="26" t="s">
        <v>371</v>
      </c>
      <c r="C163" s="27" t="s">
        <v>1190</v>
      </c>
      <c r="D163" s="27"/>
      <c r="E163" s="28"/>
      <c r="F163" s="28" t="s">
        <v>104</v>
      </c>
    </row>
    <row r="164" customFormat="false" ht="15" hidden="false" customHeight="false" outlineLevel="0" collapsed="false">
      <c r="A164" s="26" t="s">
        <v>1191</v>
      </c>
      <c r="B164" s="26"/>
      <c r="C164" s="27" t="s">
        <v>1192</v>
      </c>
      <c r="F164" s="32"/>
    </row>
    <row r="165" customFormat="false" ht="15" hidden="false" customHeight="false" outlineLevel="0" collapsed="false">
      <c r="A165" s="26" t="s">
        <v>1193</v>
      </c>
      <c r="B165" s="26" t="s">
        <v>371</v>
      </c>
      <c r="C165" s="27" t="s">
        <v>1194</v>
      </c>
      <c r="D165" s="27" t="n">
        <v>7701655209</v>
      </c>
      <c r="E165" s="28"/>
      <c r="F165" s="28" t="s">
        <v>104</v>
      </c>
    </row>
    <row r="166" customFormat="false" ht="15" hidden="false" customHeight="false" outlineLevel="0" collapsed="false">
      <c r="A166" s="26" t="s">
        <v>1195</v>
      </c>
      <c r="B166" s="26" t="s">
        <v>270</v>
      </c>
      <c r="C166" s="27" t="s">
        <v>1196</v>
      </c>
      <c r="D166" s="27" t="n">
        <v>7813459058</v>
      </c>
      <c r="E166" s="28"/>
      <c r="F166" s="28" t="s">
        <v>183</v>
      </c>
    </row>
    <row r="167" customFormat="false" ht="15" hidden="false" customHeight="false" outlineLevel="0" collapsed="false">
      <c r="A167" s="26" t="s">
        <v>1197</v>
      </c>
      <c r="B167" s="26" t="s">
        <v>153</v>
      </c>
      <c r="C167" s="27" t="s">
        <v>1198</v>
      </c>
      <c r="D167" s="26"/>
      <c r="E167" s="28"/>
      <c r="F167" s="28"/>
    </row>
    <row r="168" customFormat="false" ht="15.75" hidden="false" customHeight="true" outlineLevel="0" collapsed="false">
      <c r="A168" s="25" t="s">
        <v>1199</v>
      </c>
      <c r="B168" s="26" t="s">
        <v>153</v>
      </c>
      <c r="C168" s="27" t="s">
        <v>1200</v>
      </c>
      <c r="D168" s="26"/>
      <c r="E168" s="28"/>
      <c r="F168" s="28"/>
    </row>
    <row r="169" customFormat="false" ht="15" hidden="false" customHeight="false" outlineLevel="0" collapsed="false">
      <c r="A169" s="26" t="s">
        <v>1201</v>
      </c>
      <c r="B169" s="26" t="s">
        <v>153</v>
      </c>
      <c r="C169" s="27" t="s">
        <v>1202</v>
      </c>
      <c r="D169" s="26"/>
      <c r="E169" s="28"/>
      <c r="F169" s="28"/>
    </row>
    <row r="170" customFormat="false" ht="15" hidden="false" customHeight="false" outlineLevel="0" collapsed="false">
      <c r="A170" s="26" t="s">
        <v>1203</v>
      </c>
      <c r="B170" s="26" t="s">
        <v>371</v>
      </c>
      <c r="C170" s="27" t="s">
        <v>1204</v>
      </c>
      <c r="D170" s="26"/>
      <c r="E170" s="28"/>
      <c r="F170" s="28"/>
    </row>
    <row r="171" customFormat="false" ht="15" hidden="false" customHeight="false" outlineLevel="0" collapsed="false">
      <c r="A171" s="26" t="s">
        <v>1205</v>
      </c>
      <c r="B171" s="26" t="s">
        <v>315</v>
      </c>
      <c r="C171" s="27" t="s">
        <v>1206</v>
      </c>
      <c r="D171" s="26"/>
      <c r="E171" s="28"/>
      <c r="F171" s="28"/>
    </row>
    <row r="172" customFormat="false" ht="15" hidden="false" customHeight="false" outlineLevel="0" collapsed="false">
      <c r="A172" s="26" t="s">
        <v>1207</v>
      </c>
      <c r="B172" s="26" t="s">
        <v>153</v>
      </c>
      <c r="C172" s="27" t="s">
        <v>1208</v>
      </c>
      <c r="D172" s="26" t="n">
        <v>7722693910</v>
      </c>
      <c r="E172" s="28"/>
      <c r="F172" s="28" t="s">
        <v>104</v>
      </c>
    </row>
    <row r="173" customFormat="false" ht="15" hidden="false" customHeight="false" outlineLevel="0" collapsed="false">
      <c r="A173" s="26" t="s">
        <v>1209</v>
      </c>
      <c r="B173" s="26" t="s">
        <v>142</v>
      </c>
      <c r="C173" s="29" t="s">
        <v>1210</v>
      </c>
      <c r="D173" s="26" t="n">
        <v>5047117116</v>
      </c>
      <c r="E173" s="28"/>
      <c r="F173" s="28" t="s">
        <v>471</v>
      </c>
    </row>
    <row r="174" customFormat="false" ht="15" hidden="false" customHeight="false" outlineLevel="0" collapsed="false">
      <c r="A174" s="26" t="s">
        <v>1211</v>
      </c>
      <c r="B174" s="26" t="s">
        <v>142</v>
      </c>
      <c r="C174" s="29" t="s">
        <v>1212</v>
      </c>
      <c r="D174" s="26"/>
      <c r="E174" s="28"/>
      <c r="F174" s="28"/>
    </row>
    <row r="175" customFormat="false" ht="15" hidden="false" customHeight="false" outlineLevel="0" collapsed="false">
      <c r="A175" s="26" t="s">
        <v>1213</v>
      </c>
      <c r="B175" s="26" t="s">
        <v>153</v>
      </c>
      <c r="C175" s="27" t="s">
        <v>1214</v>
      </c>
      <c r="D175" s="26"/>
      <c r="E175" s="28"/>
      <c r="F175" s="28"/>
    </row>
    <row r="176" customFormat="false" ht="15" hidden="false" customHeight="false" outlineLevel="0" collapsed="false">
      <c r="A176" s="26" t="s">
        <v>1215</v>
      </c>
      <c r="B176" s="26" t="s">
        <v>153</v>
      </c>
      <c r="C176" s="27" t="s">
        <v>1216</v>
      </c>
      <c r="D176" s="26"/>
      <c r="E176" s="28"/>
      <c r="F176" s="28"/>
    </row>
    <row r="177" customFormat="false" ht="15" hidden="false" customHeight="false" outlineLevel="0" collapsed="false">
      <c r="A177" s="26"/>
      <c r="B177" s="26" t="s">
        <v>153</v>
      </c>
      <c r="C177" s="26" t="s">
        <v>1217</v>
      </c>
      <c r="D177" s="26"/>
      <c r="E177" s="28"/>
      <c r="F177" s="28"/>
    </row>
    <row r="178" customFormat="false" ht="15" hidden="false" customHeight="false" outlineLevel="0" collapsed="false">
      <c r="A178" s="26"/>
      <c r="B178" s="26" t="s">
        <v>153</v>
      </c>
      <c r="C178" s="27" t="s">
        <v>1218</v>
      </c>
      <c r="D178" s="26"/>
      <c r="E178" s="28"/>
      <c r="F178" s="28"/>
    </row>
    <row r="179" customFormat="false" ht="15" hidden="false" customHeight="false" outlineLevel="0" collapsed="false">
      <c r="A179" s="26"/>
      <c r="B179" s="26" t="s">
        <v>458</v>
      </c>
      <c r="C179" s="27" t="s">
        <v>1219</v>
      </c>
      <c r="D179" s="26"/>
      <c r="E179" s="28"/>
      <c r="F179" s="28"/>
    </row>
    <row r="180" customFormat="false" ht="15" hidden="false" customHeight="false" outlineLevel="0" collapsed="false">
      <c r="A180" s="26"/>
      <c r="B180" s="26" t="s">
        <v>153</v>
      </c>
      <c r="C180" s="27" t="s">
        <v>1220</v>
      </c>
      <c r="D180" s="26"/>
      <c r="E180" s="28"/>
      <c r="F180" s="28"/>
    </row>
    <row r="181" customFormat="false" ht="15" hidden="false" customHeight="false" outlineLevel="0" collapsed="false">
      <c r="A181" s="26"/>
      <c r="B181" s="26" t="s">
        <v>153</v>
      </c>
      <c r="C181" s="27" t="s">
        <v>1192</v>
      </c>
      <c r="D181" s="26"/>
      <c r="E181" s="28"/>
      <c r="F181" s="28"/>
    </row>
    <row r="182" customFormat="false" ht="15" hidden="false" customHeight="false" outlineLevel="0" collapsed="false">
      <c r="A182" s="26"/>
      <c r="B182" s="26" t="s">
        <v>153</v>
      </c>
      <c r="C182" s="27" t="s">
        <v>1221</v>
      </c>
      <c r="D182" s="26"/>
      <c r="E182" s="28"/>
      <c r="F182" s="28"/>
    </row>
    <row r="183" customFormat="false" ht="15" hidden="false" customHeight="false" outlineLevel="0" collapsed="false">
      <c r="A183" s="26"/>
      <c r="B183" s="26" t="s">
        <v>102</v>
      </c>
      <c r="C183" s="27" t="s">
        <v>1222</v>
      </c>
      <c r="D183" s="26"/>
      <c r="E183" s="28"/>
      <c r="F183" s="28"/>
    </row>
    <row r="184" customFormat="false" ht="15" hidden="false" customHeight="false" outlineLevel="0" collapsed="false">
      <c r="A184" s="26"/>
      <c r="B184" s="26" t="s">
        <v>153</v>
      </c>
      <c r="C184" s="27" t="s">
        <v>1223</v>
      </c>
      <c r="D184" s="26"/>
      <c r="E184" s="28"/>
      <c r="F184" s="28"/>
    </row>
    <row r="185" customFormat="false" ht="15" hidden="false" customHeight="false" outlineLevel="0" collapsed="false">
      <c r="A185" s="26"/>
      <c r="B185" s="26" t="s">
        <v>153</v>
      </c>
      <c r="C185" s="27" t="s">
        <v>1224</v>
      </c>
      <c r="D185" s="26"/>
      <c r="E185" s="28"/>
      <c r="F185" s="28"/>
    </row>
    <row r="186" customFormat="false" ht="15" hidden="false" customHeight="false" outlineLevel="0" collapsed="false">
      <c r="A186" s="26" t="s">
        <v>1225</v>
      </c>
      <c r="B186" s="26" t="s">
        <v>102</v>
      </c>
      <c r="C186" s="27" t="s">
        <v>1226</v>
      </c>
      <c r="D186" s="26" t="n">
        <v>7730253254</v>
      </c>
      <c r="E186" s="28"/>
      <c r="F186" s="28"/>
    </row>
    <row r="187" customFormat="false" ht="15" hidden="false" customHeight="false" outlineLevel="0" collapsed="false">
      <c r="A187" s="26"/>
      <c r="B187" s="26"/>
      <c r="C187" s="27" t="s">
        <v>1227</v>
      </c>
      <c r="E187" s="28"/>
      <c r="F187" s="28"/>
    </row>
    <row r="188" customFormat="false" ht="15" hidden="false" customHeight="false" outlineLevel="0" collapsed="false">
      <c r="A188" s="26"/>
      <c r="B188" s="26" t="s">
        <v>458</v>
      </c>
      <c r="C188" s="27" t="s">
        <v>1228</v>
      </c>
      <c r="D188" s="26"/>
      <c r="E188" s="28"/>
      <c r="F188" s="28"/>
    </row>
    <row r="189" customFormat="false" ht="15" hidden="false" customHeight="false" outlineLevel="0" collapsed="false">
      <c r="A189" s="26" t="s">
        <v>1185</v>
      </c>
      <c r="B189" s="26" t="s">
        <v>315</v>
      </c>
      <c r="C189" s="27" t="s">
        <v>1186</v>
      </c>
      <c r="D189" s="27" t="n">
        <v>5074085368</v>
      </c>
      <c r="E189" s="28"/>
      <c r="F189" s="28" t="s">
        <v>471</v>
      </c>
    </row>
    <row r="190" customFormat="false" ht="15" hidden="false" customHeight="false" outlineLevel="0" collapsed="false">
      <c r="A190" s="26"/>
      <c r="B190" s="26" t="s">
        <v>458</v>
      </c>
      <c r="C190" s="26"/>
      <c r="D190" s="26"/>
      <c r="E190" s="28"/>
      <c r="F190" s="28" t="s">
        <v>104</v>
      </c>
    </row>
    <row r="191" customFormat="false" ht="15" hidden="false" customHeight="false" outlineLevel="0" collapsed="false">
      <c r="A191" s="26" t="s">
        <v>1229</v>
      </c>
      <c r="B191" s="26" t="s">
        <v>458</v>
      </c>
      <c r="C191" s="27" t="s">
        <v>1230</v>
      </c>
      <c r="D191" s="26"/>
      <c r="E191" s="28"/>
      <c r="F191" s="28"/>
    </row>
    <row r="192" customFormat="false" ht="15" hidden="false" customHeight="false" outlineLevel="0" collapsed="false">
      <c r="A192" s="26" t="s">
        <v>1231</v>
      </c>
      <c r="B192" s="26" t="s">
        <v>270</v>
      </c>
      <c r="C192" s="27" t="s">
        <v>1232</v>
      </c>
      <c r="D192" s="26"/>
      <c r="E192" s="28"/>
      <c r="F192" s="28"/>
    </row>
    <row r="193" customFormat="false" ht="15" hidden="false" customHeight="false" outlineLevel="0" collapsed="false">
      <c r="A193" s="26" t="s">
        <v>1233</v>
      </c>
      <c r="B193" s="26" t="s">
        <v>153</v>
      </c>
      <c r="C193" s="27" t="s">
        <v>1234</v>
      </c>
      <c r="D193" s="26"/>
      <c r="E193" s="28"/>
      <c r="F193" s="28" t="s">
        <v>183</v>
      </c>
    </row>
    <row r="194" customFormat="false" ht="15" hidden="false" customHeight="false" outlineLevel="0" collapsed="false">
      <c r="A194" s="26" t="s">
        <v>1235</v>
      </c>
      <c r="B194" s="26" t="s">
        <v>297</v>
      </c>
      <c r="C194" s="27" t="s">
        <v>1236</v>
      </c>
      <c r="D194" s="26"/>
      <c r="E194" s="28"/>
      <c r="F194" s="28" t="s">
        <v>828</v>
      </c>
    </row>
    <row r="195" customFormat="false" ht="15" hidden="false" customHeight="false" outlineLevel="0" collapsed="false">
      <c r="A195" s="26" t="s">
        <v>1237</v>
      </c>
      <c r="B195" s="26" t="s">
        <v>102</v>
      </c>
      <c r="C195" s="27" t="s">
        <v>1238</v>
      </c>
      <c r="D195" s="26"/>
      <c r="E195" s="28"/>
      <c r="F195" s="28"/>
    </row>
    <row r="196" customFormat="false" ht="15" hidden="false" customHeight="false" outlineLevel="0" collapsed="false">
      <c r="A196" s="26" t="s">
        <v>1239</v>
      </c>
      <c r="B196" s="26" t="s">
        <v>153</v>
      </c>
      <c r="C196" s="27" t="s">
        <v>1240</v>
      </c>
      <c r="D196" s="26"/>
      <c r="E196" s="28"/>
      <c r="F196" s="28"/>
    </row>
    <row r="197" customFormat="false" ht="15" hidden="false" customHeight="false" outlineLevel="0" collapsed="false">
      <c r="A197" s="26" t="s">
        <v>1241</v>
      </c>
      <c r="B197" s="26" t="s">
        <v>153</v>
      </c>
      <c r="C197" s="27" t="s">
        <v>1242</v>
      </c>
      <c r="D197" s="26"/>
      <c r="E197" s="28"/>
      <c r="F197" s="28"/>
    </row>
    <row r="198" customFormat="false" ht="15" hidden="false" customHeight="false" outlineLevel="0" collapsed="false">
      <c r="A198" s="26" t="s">
        <v>1243</v>
      </c>
      <c r="B198" s="26" t="s">
        <v>226</v>
      </c>
      <c r="C198" s="27" t="s">
        <v>1244</v>
      </c>
      <c r="D198" s="26"/>
      <c r="E198" s="28"/>
      <c r="F198" s="28"/>
    </row>
    <row r="199" customFormat="false" ht="15" hidden="false" customHeight="false" outlineLevel="0" collapsed="false">
      <c r="A199" s="26" t="s">
        <v>1245</v>
      </c>
      <c r="B199" s="26" t="s">
        <v>142</v>
      </c>
      <c r="C199" s="27" t="s">
        <v>1246</v>
      </c>
      <c r="D199" s="26"/>
      <c r="E199" s="28"/>
      <c r="F199" s="28"/>
    </row>
    <row r="200" customFormat="false" ht="15" hidden="false" customHeight="false" outlineLevel="0" collapsed="false">
      <c r="A200" s="26"/>
      <c r="B200" s="26"/>
      <c r="C200" s="26"/>
      <c r="D200" s="27"/>
      <c r="E200" s="28"/>
      <c r="F200" s="28"/>
    </row>
    <row r="201" customFormat="false" ht="15" hidden="false" customHeight="false" outlineLevel="0" collapsed="false">
      <c r="A201" s="26"/>
      <c r="B201" s="26"/>
      <c r="C201" s="26"/>
      <c r="D201" s="26"/>
      <c r="E201" s="28"/>
      <c r="F201" s="28"/>
    </row>
    <row r="202" customFormat="false" ht="15" hidden="false" customHeight="false" outlineLevel="0" collapsed="false">
      <c r="A202" s="26"/>
      <c r="B202" s="26"/>
      <c r="C202" s="26"/>
      <c r="D202" s="26"/>
      <c r="E202" s="28"/>
      <c r="F202" s="28"/>
    </row>
    <row r="203" customFormat="false" ht="15" hidden="false" customHeight="false" outlineLevel="0" collapsed="false">
      <c r="A203" s="26"/>
      <c r="B203" s="26"/>
      <c r="C203" s="26"/>
      <c r="D203" s="26"/>
      <c r="E203" s="28"/>
      <c r="F203" s="28"/>
    </row>
    <row r="204" customFormat="false" ht="15" hidden="false" customHeight="false" outlineLevel="0" collapsed="false">
      <c r="A204" s="26"/>
      <c r="B204" s="26"/>
      <c r="C204" s="26"/>
      <c r="D204" s="26"/>
      <c r="E204" s="28"/>
      <c r="F204" s="28"/>
    </row>
    <row r="205" customFormat="false" ht="15" hidden="false" customHeight="false" outlineLevel="0" collapsed="false">
      <c r="A205" s="26"/>
      <c r="B205" s="26"/>
      <c r="C205" s="26"/>
      <c r="D205" s="26"/>
      <c r="E205" s="28"/>
      <c r="F205" s="28"/>
    </row>
    <row r="206" customFormat="false" ht="15" hidden="false" customHeight="false" outlineLevel="0" collapsed="false">
      <c r="A206" s="26"/>
      <c r="B206" s="26"/>
      <c r="C206" s="26"/>
      <c r="D206" s="26"/>
      <c r="E206" s="28"/>
      <c r="F206" s="28"/>
    </row>
    <row r="207" customFormat="false" ht="15" hidden="false" customHeight="false" outlineLevel="0" collapsed="false">
      <c r="A207" s="26"/>
      <c r="B207" s="26"/>
      <c r="C207" s="26"/>
      <c r="D207" s="26"/>
      <c r="E207" s="28"/>
      <c r="F207" s="28"/>
    </row>
    <row r="208" customFormat="false" ht="15" hidden="false" customHeight="false" outlineLevel="0" collapsed="false">
      <c r="A208" s="26"/>
      <c r="B208" s="26"/>
      <c r="C208" s="26"/>
      <c r="D208" s="26"/>
      <c r="E208" s="28"/>
      <c r="F208" s="28"/>
    </row>
    <row r="209" customFormat="false" ht="15" hidden="false" customHeight="false" outlineLevel="0" collapsed="false">
      <c r="A209" s="26"/>
      <c r="B209" s="26"/>
      <c r="C209" s="26"/>
      <c r="D209" s="26"/>
      <c r="E209" s="28"/>
      <c r="F209" s="28"/>
    </row>
    <row r="210" customFormat="false" ht="15" hidden="false" customHeight="false" outlineLevel="0" collapsed="false">
      <c r="A210" s="26"/>
      <c r="B210" s="26"/>
      <c r="C210" s="26"/>
      <c r="D210" s="26"/>
      <c r="E210" s="28"/>
      <c r="F210" s="28"/>
    </row>
    <row r="211" customFormat="false" ht="15" hidden="false" customHeight="false" outlineLevel="0" collapsed="false">
      <c r="A211" s="26"/>
      <c r="B211" s="26"/>
      <c r="C211" s="26"/>
      <c r="D211" s="26"/>
      <c r="E211" s="28"/>
      <c r="F211" s="28"/>
    </row>
    <row r="212" customFormat="false" ht="15" hidden="false" customHeight="false" outlineLevel="0" collapsed="false">
      <c r="A212" s="26"/>
      <c r="B212" s="26"/>
      <c r="C212" s="26"/>
      <c r="D212" s="26"/>
      <c r="E212" s="28"/>
      <c r="F212" s="28"/>
    </row>
    <row r="213" customFormat="false" ht="15" hidden="false" customHeight="false" outlineLevel="0" collapsed="false">
      <c r="A213" s="26"/>
      <c r="B213" s="26"/>
      <c r="C213" s="26"/>
      <c r="D213" s="26"/>
      <c r="E213" s="28"/>
      <c r="F213" s="28"/>
    </row>
    <row r="214" customFormat="false" ht="15" hidden="false" customHeight="false" outlineLevel="0" collapsed="false">
      <c r="A214" s="26"/>
      <c r="B214" s="26"/>
      <c r="C214" s="26"/>
      <c r="D214" s="26"/>
      <c r="E214" s="28"/>
      <c r="F214" s="28"/>
    </row>
    <row r="215" customFormat="false" ht="15" hidden="false" customHeight="false" outlineLevel="0" collapsed="false">
      <c r="A215" s="26"/>
      <c r="B215" s="26"/>
      <c r="C215" s="26"/>
      <c r="D215" s="26"/>
      <c r="E215" s="28"/>
      <c r="F215" s="28"/>
    </row>
    <row r="216" customFormat="false" ht="15" hidden="false" customHeight="false" outlineLevel="0" collapsed="false">
      <c r="A216" s="26"/>
      <c r="B216" s="26"/>
      <c r="C216" s="26"/>
      <c r="D216" s="26"/>
      <c r="E216" s="28"/>
      <c r="F216" s="28"/>
    </row>
    <row r="217" customFormat="false" ht="15" hidden="false" customHeight="false" outlineLevel="0" collapsed="false">
      <c r="A217" s="26"/>
      <c r="B217" s="26"/>
      <c r="C217" s="26"/>
      <c r="D217" s="26"/>
      <c r="E217" s="28"/>
      <c r="F217" s="28"/>
    </row>
    <row r="218" customFormat="false" ht="15" hidden="false" customHeight="false" outlineLevel="0" collapsed="false">
      <c r="A218" s="26"/>
      <c r="B218" s="26"/>
      <c r="C218" s="26"/>
      <c r="D218" s="26"/>
      <c r="E218" s="28"/>
      <c r="F218" s="28"/>
    </row>
    <row r="219" customFormat="false" ht="15" hidden="false" customHeight="false" outlineLevel="0" collapsed="false">
      <c r="A219" s="26"/>
      <c r="B219" s="26"/>
      <c r="C219" s="26"/>
      <c r="D219" s="26"/>
      <c r="E219" s="28"/>
      <c r="F219" s="28"/>
    </row>
    <row r="220" customFormat="false" ht="15" hidden="false" customHeight="false" outlineLevel="0" collapsed="false">
      <c r="A220" s="26"/>
      <c r="B220" s="26"/>
      <c r="C220" s="26"/>
      <c r="D220" s="26"/>
      <c r="E220" s="28"/>
      <c r="F220" s="28"/>
    </row>
    <row r="221" customFormat="false" ht="15" hidden="false" customHeight="false" outlineLevel="0" collapsed="false">
      <c r="A221" s="26"/>
      <c r="B221" s="26"/>
      <c r="C221" s="26"/>
      <c r="D221" s="26"/>
      <c r="E221" s="28"/>
      <c r="F221" s="28"/>
    </row>
    <row r="222" customFormat="false" ht="15" hidden="false" customHeight="false" outlineLevel="0" collapsed="false">
      <c r="A222" s="26"/>
      <c r="B222" s="26"/>
      <c r="C222" s="26"/>
      <c r="D222" s="26"/>
      <c r="E222" s="28"/>
      <c r="F222" s="28"/>
    </row>
    <row r="223" customFormat="false" ht="15" hidden="false" customHeight="false" outlineLevel="0" collapsed="false">
      <c r="A223" s="26"/>
      <c r="B223" s="26"/>
      <c r="C223" s="26"/>
      <c r="D223" s="26"/>
      <c r="E223" s="28"/>
      <c r="F223" s="28"/>
    </row>
    <row r="224" customFormat="false" ht="15" hidden="false" customHeight="false" outlineLevel="0" collapsed="false">
      <c r="A224" s="26"/>
      <c r="B224" s="26"/>
      <c r="C224" s="26"/>
      <c r="D224" s="26"/>
      <c r="E224" s="28"/>
      <c r="F224" s="28"/>
    </row>
    <row r="225" customFormat="false" ht="15" hidden="false" customHeight="false" outlineLevel="0" collapsed="false">
      <c r="A225" s="26"/>
      <c r="B225" s="26"/>
      <c r="C225" s="26"/>
      <c r="D225" s="26"/>
      <c r="E225" s="28"/>
      <c r="F225" s="28"/>
    </row>
    <row r="226" customFormat="false" ht="15" hidden="false" customHeight="false" outlineLevel="0" collapsed="false">
      <c r="A226" s="26"/>
      <c r="B226" s="26"/>
      <c r="C226" s="26"/>
      <c r="D226" s="26"/>
      <c r="E226" s="28"/>
      <c r="F226" s="28"/>
    </row>
    <row r="227" customFormat="false" ht="15" hidden="false" customHeight="false" outlineLevel="0" collapsed="false">
      <c r="A227" s="26"/>
      <c r="B227" s="26"/>
      <c r="C227" s="26"/>
      <c r="D227" s="26"/>
      <c r="E227" s="28"/>
      <c r="F227" s="28"/>
      <c r="G227" s="33"/>
    </row>
    <row r="228" customFormat="false" ht="15" hidden="false" customHeight="false" outlineLevel="0" collapsed="false">
      <c r="A228" s="26"/>
      <c r="B228" s="26"/>
      <c r="C228" s="26"/>
      <c r="D228" s="26"/>
      <c r="E228" s="28"/>
      <c r="F228" s="28"/>
    </row>
    <row r="229" customFormat="false" ht="15" hidden="false" customHeight="false" outlineLevel="0" collapsed="false">
      <c r="A229" s="26"/>
      <c r="B229" s="26"/>
      <c r="C229" s="26"/>
      <c r="D229" s="26"/>
      <c r="E229" s="28"/>
      <c r="F229" s="28"/>
    </row>
    <row r="230" customFormat="false" ht="15" hidden="false" customHeight="false" outlineLevel="0" collapsed="false">
      <c r="A230" s="26"/>
      <c r="B230" s="26"/>
      <c r="C230" s="26"/>
      <c r="D230" s="26"/>
      <c r="E230" s="28"/>
      <c r="F230" s="28"/>
    </row>
    <row r="231" customFormat="false" ht="15" hidden="false" customHeight="false" outlineLevel="0" collapsed="false">
      <c r="A231" s="26"/>
      <c r="B231" s="26"/>
      <c r="C231" s="26"/>
      <c r="D231" s="26"/>
      <c r="E231" s="28"/>
      <c r="F231" s="28"/>
    </row>
    <row r="232" customFormat="false" ht="15" hidden="false" customHeight="false" outlineLevel="0" collapsed="false">
      <c r="A232" s="26"/>
      <c r="B232" s="26"/>
      <c r="C232" s="26"/>
      <c r="D232" s="26"/>
      <c r="E232" s="28"/>
      <c r="F232" s="28"/>
    </row>
    <row r="233" customFormat="false" ht="15" hidden="false" customHeight="false" outlineLevel="0" collapsed="false">
      <c r="A233" s="26"/>
      <c r="B233" s="26"/>
      <c r="C233" s="26"/>
      <c r="D233" s="26"/>
      <c r="E233" s="28"/>
      <c r="F233" s="28"/>
    </row>
    <row r="234" customFormat="false" ht="15" hidden="false" customHeight="false" outlineLevel="0" collapsed="false">
      <c r="A234" s="26"/>
      <c r="B234" s="26"/>
      <c r="C234" s="26"/>
      <c r="D234" s="26"/>
      <c r="E234" s="28"/>
      <c r="F234" s="28"/>
    </row>
    <row r="235" customFormat="false" ht="15" hidden="false" customHeight="false" outlineLevel="0" collapsed="false">
      <c r="A235" s="26"/>
      <c r="B235" s="26"/>
      <c r="C235" s="26"/>
      <c r="D235" s="26"/>
      <c r="E235" s="28"/>
      <c r="F235" s="28"/>
    </row>
    <row r="236" customFormat="false" ht="15" hidden="false" customHeight="false" outlineLevel="0" collapsed="false">
      <c r="A236" s="26"/>
      <c r="B236" s="26"/>
      <c r="C236" s="26"/>
      <c r="D236" s="26"/>
      <c r="E236" s="28"/>
      <c r="F236" s="28"/>
    </row>
    <row r="237" customFormat="false" ht="15" hidden="false" customHeight="false" outlineLevel="0" collapsed="false">
      <c r="A237" s="26"/>
      <c r="B237" s="26"/>
      <c r="C237" s="26"/>
      <c r="D237" s="26"/>
      <c r="E237" s="28"/>
      <c r="F237" s="28"/>
    </row>
    <row r="238" customFormat="false" ht="15" hidden="false" customHeight="false" outlineLevel="0" collapsed="false">
      <c r="A238" s="26"/>
      <c r="B238" s="26"/>
      <c r="C238" s="26"/>
      <c r="D238" s="26"/>
      <c r="E238" s="28"/>
      <c r="F238" s="28"/>
    </row>
    <row r="239" customFormat="false" ht="15" hidden="false" customHeight="false" outlineLevel="0" collapsed="false">
      <c r="A239" s="26"/>
      <c r="B239" s="26"/>
      <c r="C239" s="26"/>
      <c r="D239" s="26"/>
      <c r="E239" s="28"/>
      <c r="F239" s="28"/>
    </row>
    <row r="240" customFormat="false" ht="15" hidden="false" customHeight="false" outlineLevel="0" collapsed="false">
      <c r="A240" s="26"/>
      <c r="B240" s="26"/>
      <c r="C240" s="26"/>
      <c r="D240" s="26"/>
      <c r="E240" s="28"/>
      <c r="F240" s="28"/>
    </row>
    <row r="241" customFormat="false" ht="15" hidden="false" customHeight="false" outlineLevel="0" collapsed="false">
      <c r="A241" s="26"/>
      <c r="B241" s="26"/>
      <c r="C241" s="26"/>
      <c r="D241" s="26"/>
      <c r="E241" s="28"/>
      <c r="F241" s="28"/>
    </row>
    <row r="242" customFormat="false" ht="15" hidden="false" customHeight="false" outlineLevel="0" collapsed="false">
      <c r="A242" s="26"/>
      <c r="B242" s="26"/>
      <c r="C242" s="26"/>
      <c r="D242" s="26"/>
      <c r="E242" s="28"/>
      <c r="F242" s="28"/>
    </row>
    <row r="243" customFormat="false" ht="15" hidden="false" customHeight="false" outlineLevel="0" collapsed="false">
      <c r="A243" s="26"/>
      <c r="B243" s="26"/>
      <c r="C243" s="26"/>
      <c r="D243" s="26"/>
      <c r="E243" s="28"/>
      <c r="F243" s="28"/>
    </row>
    <row r="244" customFormat="false" ht="15" hidden="false" customHeight="false" outlineLevel="0" collapsed="false">
      <c r="A244" s="26"/>
      <c r="B244" s="26"/>
      <c r="C244" s="26"/>
      <c r="D244" s="26"/>
      <c r="E244" s="28"/>
      <c r="F244" s="28"/>
    </row>
    <row r="245" customFormat="false" ht="15" hidden="false" customHeight="false" outlineLevel="0" collapsed="false">
      <c r="A245" s="26"/>
      <c r="B245" s="26"/>
      <c r="C245" s="26"/>
      <c r="D245" s="26"/>
      <c r="E245" s="28"/>
      <c r="F245" s="28"/>
    </row>
    <row r="246" customFormat="false" ht="15" hidden="false" customHeight="false" outlineLevel="0" collapsed="false">
      <c r="A246" s="26"/>
      <c r="B246" s="26"/>
      <c r="C246" s="26"/>
      <c r="D246" s="26"/>
      <c r="E246" s="28"/>
      <c r="F246" s="28"/>
    </row>
    <row r="247" customFormat="false" ht="15" hidden="false" customHeight="false" outlineLevel="0" collapsed="false">
      <c r="A247" s="26"/>
      <c r="B247" s="26"/>
      <c r="C247" s="26"/>
      <c r="D247" s="26"/>
      <c r="E247" s="28"/>
      <c r="F247" s="28"/>
    </row>
    <row r="248" customFormat="false" ht="15" hidden="false" customHeight="false" outlineLevel="0" collapsed="false">
      <c r="A248" s="26"/>
      <c r="B248" s="26"/>
      <c r="C248" s="26"/>
      <c r="D248" s="26"/>
      <c r="E248" s="28"/>
      <c r="F248" s="28"/>
    </row>
    <row r="249" customFormat="false" ht="15" hidden="false" customHeight="false" outlineLevel="0" collapsed="false">
      <c r="A249" s="26"/>
      <c r="B249" s="26"/>
      <c r="C249" s="26"/>
      <c r="D249" s="26"/>
      <c r="E249" s="28"/>
      <c r="F249" s="28"/>
    </row>
    <row r="250" customFormat="false" ht="15" hidden="false" customHeight="false" outlineLevel="0" collapsed="false">
      <c r="A250" s="26"/>
      <c r="B250" s="26"/>
      <c r="C250" s="26"/>
      <c r="D250" s="26"/>
      <c r="E250" s="28"/>
      <c r="F250" s="28"/>
    </row>
    <row r="251" customFormat="false" ht="15" hidden="false" customHeight="false" outlineLevel="0" collapsed="false">
      <c r="A251" s="26"/>
      <c r="B251" s="26"/>
      <c r="C251" s="26"/>
      <c r="D251" s="26"/>
      <c r="E251" s="28"/>
      <c r="F251" s="28"/>
    </row>
    <row r="252" customFormat="false" ht="15" hidden="false" customHeight="false" outlineLevel="0" collapsed="false">
      <c r="A252" s="26"/>
      <c r="B252" s="26"/>
      <c r="C252" s="26"/>
      <c r="D252" s="26"/>
      <c r="E252" s="28"/>
      <c r="F252" s="28"/>
    </row>
    <row r="253" customFormat="false" ht="15" hidden="false" customHeight="false" outlineLevel="0" collapsed="false">
      <c r="A253" s="26"/>
      <c r="B253" s="26"/>
      <c r="C253" s="26"/>
      <c r="D253" s="26"/>
      <c r="E253" s="28"/>
      <c r="F253" s="28"/>
    </row>
    <row r="254" customFormat="false" ht="15" hidden="false" customHeight="false" outlineLevel="0" collapsed="false">
      <c r="A254" s="26"/>
      <c r="B254" s="26"/>
      <c r="C254" s="26"/>
      <c r="D254" s="26"/>
      <c r="E254" s="28"/>
      <c r="F254" s="28"/>
    </row>
    <row r="255" customFormat="false" ht="15" hidden="false" customHeight="false" outlineLevel="0" collapsed="false">
      <c r="A255" s="26"/>
      <c r="B255" s="26"/>
      <c r="C255" s="26"/>
      <c r="D255" s="26"/>
      <c r="E255" s="28"/>
      <c r="F255" s="28"/>
    </row>
    <row r="256" customFormat="false" ht="15" hidden="false" customHeight="false" outlineLevel="0" collapsed="false">
      <c r="A256" s="26"/>
      <c r="B256" s="26"/>
      <c r="C256" s="26"/>
      <c r="D256" s="26"/>
      <c r="E256" s="28"/>
      <c r="F256" s="28"/>
    </row>
    <row r="257" customFormat="false" ht="15" hidden="false" customHeight="false" outlineLevel="0" collapsed="false">
      <c r="A257" s="26"/>
      <c r="B257" s="26"/>
      <c r="C257" s="26"/>
      <c r="D257" s="26"/>
      <c r="E257" s="28"/>
      <c r="F257" s="28"/>
    </row>
    <row r="258" customFormat="false" ht="15" hidden="false" customHeight="false" outlineLevel="0" collapsed="false">
      <c r="A258" s="26"/>
      <c r="B258" s="26"/>
      <c r="C258" s="26"/>
      <c r="D258" s="26"/>
      <c r="E258" s="28"/>
      <c r="F258" s="28"/>
    </row>
    <row r="259" customFormat="false" ht="15" hidden="false" customHeight="false" outlineLevel="0" collapsed="false">
      <c r="A259" s="26"/>
      <c r="B259" s="26"/>
      <c r="C259" s="26"/>
      <c r="D259" s="26"/>
      <c r="E259" s="28"/>
      <c r="F259" s="28"/>
    </row>
    <row r="260" customFormat="false" ht="15" hidden="false" customHeight="false" outlineLevel="0" collapsed="false">
      <c r="A260" s="26"/>
      <c r="B260" s="26"/>
      <c r="C260" s="26"/>
      <c r="D260" s="26"/>
      <c r="E260" s="28"/>
      <c r="F260" s="28"/>
    </row>
    <row r="261" customFormat="false" ht="15" hidden="false" customHeight="false" outlineLevel="0" collapsed="false">
      <c r="A261" s="26"/>
      <c r="B261" s="26"/>
      <c r="C261" s="26"/>
      <c r="D261" s="26"/>
      <c r="E261" s="28"/>
      <c r="F261" s="28"/>
    </row>
    <row r="262" customFormat="false" ht="15" hidden="false" customHeight="false" outlineLevel="0" collapsed="false">
      <c r="A262" s="26"/>
      <c r="B262" s="26"/>
      <c r="C262" s="26"/>
      <c r="D262" s="26"/>
      <c r="E262" s="28"/>
      <c r="F262" s="28"/>
    </row>
    <row r="263" customFormat="false" ht="15" hidden="false" customHeight="false" outlineLevel="0" collapsed="false">
      <c r="A263" s="26"/>
      <c r="B263" s="26"/>
      <c r="C263" s="26"/>
      <c r="D263" s="26"/>
      <c r="E263" s="28"/>
      <c r="F263" s="28"/>
    </row>
    <row r="264" customFormat="false" ht="15" hidden="false" customHeight="false" outlineLevel="0" collapsed="false">
      <c r="A264" s="26"/>
      <c r="B264" s="26"/>
      <c r="C264" s="26"/>
      <c r="D264" s="26"/>
      <c r="E264" s="28"/>
      <c r="F264" s="28"/>
    </row>
    <row r="265" customFormat="false" ht="15" hidden="false" customHeight="false" outlineLevel="0" collapsed="false">
      <c r="A265" s="26"/>
      <c r="B265" s="26"/>
      <c r="C265" s="26"/>
      <c r="D265" s="26"/>
      <c r="E265" s="28"/>
      <c r="F265" s="28"/>
    </row>
    <row r="266" customFormat="false" ht="15" hidden="false" customHeight="false" outlineLevel="0" collapsed="false">
      <c r="A266" s="26"/>
      <c r="B266" s="26"/>
      <c r="C266" s="26"/>
      <c r="D266" s="26"/>
      <c r="E266" s="28"/>
      <c r="F266" s="28"/>
    </row>
    <row r="267" customFormat="false" ht="15" hidden="false" customHeight="false" outlineLevel="0" collapsed="false">
      <c r="A267" s="26"/>
      <c r="B267" s="26"/>
      <c r="C267" s="26"/>
      <c r="D267" s="26"/>
      <c r="E267" s="28"/>
      <c r="F267" s="28"/>
    </row>
    <row r="268" customFormat="false" ht="15" hidden="false" customHeight="false" outlineLevel="0" collapsed="false">
      <c r="A268" s="26"/>
      <c r="B268" s="26"/>
      <c r="C268" s="26"/>
      <c r="D268" s="26"/>
      <c r="E268" s="28"/>
      <c r="F268" s="28"/>
    </row>
    <row r="269" customFormat="false" ht="15" hidden="false" customHeight="false" outlineLevel="0" collapsed="false">
      <c r="A269" s="26"/>
      <c r="B269" s="26"/>
      <c r="C269" s="26"/>
      <c r="D269" s="26"/>
      <c r="E269" s="28"/>
      <c r="F269" s="28"/>
    </row>
    <row r="270" customFormat="false" ht="15" hidden="false" customHeight="false" outlineLevel="0" collapsed="false">
      <c r="A270" s="26"/>
      <c r="B270" s="26"/>
      <c r="C270" s="26"/>
      <c r="D270" s="26"/>
      <c r="E270" s="28"/>
      <c r="F270" s="28"/>
    </row>
    <row r="271" customFormat="false" ht="15" hidden="false" customHeight="false" outlineLevel="0" collapsed="false">
      <c r="A271" s="26"/>
      <c r="B271" s="26"/>
      <c r="C271" s="26"/>
      <c r="D271" s="26"/>
      <c r="E271" s="28"/>
      <c r="F271" s="28"/>
    </row>
    <row r="272" customFormat="false" ht="15" hidden="false" customHeight="false" outlineLevel="0" collapsed="false">
      <c r="A272" s="26"/>
      <c r="B272" s="26"/>
      <c r="C272" s="26"/>
      <c r="D272" s="26"/>
      <c r="E272" s="28"/>
      <c r="F272" s="28"/>
    </row>
    <row r="273" customFormat="false" ht="15" hidden="false" customHeight="false" outlineLevel="0" collapsed="false">
      <c r="A273" s="26"/>
      <c r="B273" s="26"/>
      <c r="C273" s="26"/>
      <c r="D273" s="26"/>
      <c r="E273" s="28"/>
      <c r="F273" s="28"/>
    </row>
    <row r="274" customFormat="false" ht="15" hidden="false" customHeight="false" outlineLevel="0" collapsed="false">
      <c r="A274" s="26"/>
      <c r="B274" s="26"/>
      <c r="C274" s="26"/>
      <c r="D274" s="26"/>
      <c r="E274" s="28"/>
      <c r="F274" s="28"/>
    </row>
    <row r="275" customFormat="false" ht="15" hidden="false" customHeight="false" outlineLevel="0" collapsed="false">
      <c r="A275" s="26"/>
      <c r="B275" s="26"/>
      <c r="C275" s="26"/>
      <c r="D275" s="26"/>
      <c r="E275" s="28"/>
      <c r="F275" s="28"/>
    </row>
    <row r="276" customFormat="false" ht="15" hidden="false" customHeight="false" outlineLevel="0" collapsed="false">
      <c r="A276" s="26"/>
      <c r="B276" s="26"/>
      <c r="C276" s="26"/>
      <c r="D276" s="26"/>
      <c r="E276" s="28"/>
      <c r="F276" s="28"/>
    </row>
    <row r="277" customFormat="false" ht="15" hidden="false" customHeight="false" outlineLevel="0" collapsed="false">
      <c r="A277" s="26"/>
      <c r="B277" s="26"/>
      <c r="C277" s="26"/>
      <c r="D277" s="26"/>
      <c r="E277" s="28"/>
      <c r="F277" s="28"/>
    </row>
    <row r="278" customFormat="false" ht="15" hidden="false" customHeight="false" outlineLevel="0" collapsed="false">
      <c r="A278" s="26"/>
      <c r="B278" s="26"/>
      <c r="C278" s="26"/>
      <c r="D278" s="26"/>
      <c r="E278" s="28"/>
      <c r="F278" s="28"/>
    </row>
    <row r="279" customFormat="false" ht="15" hidden="false" customHeight="false" outlineLevel="0" collapsed="false">
      <c r="A279" s="26"/>
      <c r="B279" s="26"/>
      <c r="C279" s="26"/>
      <c r="D279" s="26"/>
      <c r="E279" s="28"/>
      <c r="F279" s="28"/>
    </row>
    <row r="280" customFormat="false" ht="15" hidden="false" customHeight="false" outlineLevel="0" collapsed="false">
      <c r="A280" s="26"/>
      <c r="B280" s="26"/>
      <c r="C280" s="26"/>
      <c r="D280" s="26"/>
      <c r="E280" s="28"/>
      <c r="F280" s="28"/>
    </row>
    <row r="281" customFormat="false" ht="15" hidden="false" customHeight="false" outlineLevel="0" collapsed="false">
      <c r="A281" s="26"/>
      <c r="B281" s="26"/>
      <c r="C281" s="26"/>
      <c r="D281" s="26"/>
      <c r="E281" s="28"/>
      <c r="F281" s="28"/>
    </row>
    <row r="282" customFormat="false" ht="15" hidden="false" customHeight="false" outlineLevel="0" collapsed="false">
      <c r="A282" s="26"/>
      <c r="B282" s="26"/>
      <c r="C282" s="26"/>
      <c r="D282" s="26"/>
      <c r="E282" s="28"/>
      <c r="F282" s="28"/>
    </row>
    <row r="283" customFormat="false" ht="15" hidden="false" customHeight="false" outlineLevel="0" collapsed="false">
      <c r="A283" s="26"/>
      <c r="B283" s="26"/>
      <c r="C283" s="26"/>
      <c r="D283" s="26"/>
      <c r="E283" s="28"/>
      <c r="F283" s="28"/>
    </row>
    <row r="284" customFormat="false" ht="15" hidden="false" customHeight="false" outlineLevel="0" collapsed="false">
      <c r="A284" s="26"/>
      <c r="B284" s="26"/>
      <c r="C284" s="26"/>
      <c r="D284" s="26"/>
      <c r="E284" s="28"/>
      <c r="F284" s="28"/>
    </row>
    <row r="285" customFormat="false" ht="15" hidden="false" customHeight="false" outlineLevel="0" collapsed="false">
      <c r="A285" s="26"/>
      <c r="B285" s="26"/>
      <c r="C285" s="26"/>
      <c r="D285" s="26"/>
      <c r="E285" s="28"/>
      <c r="F285" s="28"/>
    </row>
    <row r="286" customFormat="false" ht="15" hidden="false" customHeight="false" outlineLevel="0" collapsed="false">
      <c r="A286" s="26"/>
      <c r="B286" s="26"/>
      <c r="C286" s="26"/>
      <c r="D286" s="26"/>
      <c r="E286" s="28"/>
      <c r="F286" s="28"/>
    </row>
    <row r="287" customFormat="false" ht="15" hidden="false" customHeight="false" outlineLevel="0" collapsed="false">
      <c r="A287" s="26"/>
      <c r="B287" s="26"/>
      <c r="C287" s="26"/>
      <c r="D287" s="26"/>
      <c r="E287" s="28"/>
      <c r="F287" s="28"/>
    </row>
    <row r="288" customFormat="false" ht="15" hidden="false" customHeight="false" outlineLevel="0" collapsed="false">
      <c r="A288" s="26"/>
      <c r="B288" s="26"/>
      <c r="C288" s="26"/>
      <c r="D288" s="26"/>
      <c r="E288" s="28"/>
      <c r="F288" s="28"/>
    </row>
    <row r="289" customFormat="false" ht="15" hidden="false" customHeight="false" outlineLevel="0" collapsed="false">
      <c r="A289" s="26"/>
      <c r="B289" s="26"/>
      <c r="C289" s="26"/>
      <c r="D289" s="26"/>
      <c r="E289" s="28"/>
      <c r="F289" s="28"/>
    </row>
    <row r="290" customFormat="false" ht="15" hidden="false" customHeight="false" outlineLevel="0" collapsed="false">
      <c r="A290" s="26"/>
      <c r="B290" s="26"/>
      <c r="C290" s="26"/>
      <c r="D290" s="26"/>
      <c r="E290" s="28"/>
      <c r="F290" s="28"/>
    </row>
    <row r="291" customFormat="false" ht="15" hidden="false" customHeight="false" outlineLevel="0" collapsed="false">
      <c r="A291" s="26"/>
      <c r="B291" s="26"/>
      <c r="C291" s="26"/>
      <c r="D291" s="26"/>
      <c r="E291" s="28"/>
      <c r="F291" s="28"/>
    </row>
    <row r="292" customFormat="false" ht="15" hidden="false" customHeight="false" outlineLevel="0" collapsed="false">
      <c r="A292" s="26"/>
      <c r="B292" s="26"/>
      <c r="C292" s="26"/>
      <c r="D292" s="26"/>
      <c r="E292" s="28"/>
      <c r="F292" s="28"/>
    </row>
    <row r="293" customFormat="false" ht="15" hidden="false" customHeight="false" outlineLevel="0" collapsed="false">
      <c r="A293" s="26"/>
      <c r="B293" s="26"/>
      <c r="C293" s="26"/>
      <c r="D293" s="26"/>
      <c r="E293" s="28"/>
      <c r="F293" s="28"/>
    </row>
    <row r="294" customFormat="false" ht="15" hidden="false" customHeight="false" outlineLevel="0" collapsed="false">
      <c r="A294" s="26"/>
      <c r="B294" s="26"/>
      <c r="C294" s="26"/>
      <c r="D294" s="26"/>
      <c r="E294" s="28"/>
      <c r="F294" s="28"/>
    </row>
    <row r="295" customFormat="false" ht="15" hidden="false" customHeight="false" outlineLevel="0" collapsed="false">
      <c r="A295" s="26"/>
      <c r="B295" s="26"/>
      <c r="C295" s="26"/>
      <c r="D295" s="26"/>
      <c r="E295" s="28"/>
      <c r="F295" s="28"/>
    </row>
    <row r="296" customFormat="false" ht="15" hidden="false" customHeight="false" outlineLevel="0" collapsed="false">
      <c r="A296" s="26"/>
      <c r="B296" s="26"/>
      <c r="C296" s="26"/>
      <c r="D296" s="26"/>
      <c r="E296" s="28"/>
      <c r="F296" s="28"/>
    </row>
    <row r="297" customFormat="false" ht="15" hidden="false" customHeight="false" outlineLevel="0" collapsed="false">
      <c r="A297" s="26"/>
      <c r="B297" s="26"/>
      <c r="C297" s="26"/>
      <c r="D297" s="26"/>
      <c r="E297" s="28"/>
      <c r="F297" s="28"/>
    </row>
    <row r="298" customFormat="false" ht="15" hidden="false" customHeight="false" outlineLevel="0" collapsed="false">
      <c r="A298" s="26"/>
      <c r="B298" s="26"/>
      <c r="C298" s="26"/>
      <c r="D298" s="26"/>
      <c r="E298" s="28"/>
      <c r="F298" s="28"/>
    </row>
    <row r="299" customFormat="false" ht="15" hidden="false" customHeight="false" outlineLevel="0" collapsed="false">
      <c r="A299" s="26"/>
      <c r="B299" s="26"/>
      <c r="C299" s="26"/>
      <c r="D299" s="26"/>
      <c r="E299" s="28"/>
      <c r="F299" s="28"/>
    </row>
    <row r="300" customFormat="false" ht="15" hidden="false" customHeight="false" outlineLevel="0" collapsed="false">
      <c r="A300" s="26"/>
      <c r="B300" s="26"/>
      <c r="C300" s="26"/>
      <c r="D300" s="26"/>
      <c r="E300" s="28"/>
      <c r="F300" s="28"/>
    </row>
    <row r="301" customFormat="false" ht="15" hidden="false" customHeight="false" outlineLevel="0" collapsed="false">
      <c r="A301" s="26"/>
      <c r="B301" s="26"/>
      <c r="C301" s="26"/>
      <c r="D301" s="26"/>
      <c r="E301" s="28"/>
      <c r="F301" s="28"/>
    </row>
    <row r="302" customFormat="false" ht="15" hidden="false" customHeight="false" outlineLevel="0" collapsed="false">
      <c r="A302" s="26"/>
      <c r="B302" s="26"/>
      <c r="C302" s="26"/>
      <c r="D302" s="26"/>
      <c r="E302" s="28"/>
      <c r="F302" s="28"/>
    </row>
    <row r="303" customFormat="false" ht="15" hidden="false" customHeight="false" outlineLevel="0" collapsed="false">
      <c r="A303" s="26"/>
      <c r="B303" s="26"/>
      <c r="C303" s="26"/>
      <c r="D303" s="26"/>
      <c r="E303" s="28"/>
      <c r="F303" s="28"/>
    </row>
    <row r="304" customFormat="false" ht="15" hidden="false" customHeight="false" outlineLevel="0" collapsed="false">
      <c r="A304" s="26"/>
      <c r="B304" s="26"/>
      <c r="C304" s="26"/>
      <c r="D304" s="26"/>
      <c r="E304" s="28"/>
      <c r="F304" s="28"/>
    </row>
    <row r="305" customFormat="false" ht="15" hidden="false" customHeight="false" outlineLevel="0" collapsed="false">
      <c r="A305" s="26"/>
      <c r="B305" s="26"/>
      <c r="C305" s="26"/>
      <c r="D305" s="26"/>
      <c r="E305" s="28"/>
      <c r="F305" s="28"/>
    </row>
    <row r="306" customFormat="false" ht="15" hidden="false" customHeight="false" outlineLevel="0" collapsed="false">
      <c r="A306" s="26"/>
      <c r="B306" s="26"/>
      <c r="C306" s="26"/>
      <c r="D306" s="26"/>
      <c r="E306" s="28"/>
      <c r="F306" s="28"/>
    </row>
    <row r="307" customFormat="false" ht="15" hidden="false" customHeight="false" outlineLevel="0" collapsed="false">
      <c r="A307" s="26"/>
      <c r="B307" s="26"/>
      <c r="C307" s="26"/>
      <c r="D307" s="26"/>
      <c r="E307" s="28"/>
      <c r="F307" s="28"/>
    </row>
    <row r="308" customFormat="false" ht="15" hidden="false" customHeight="false" outlineLevel="0" collapsed="false">
      <c r="A308" s="26"/>
      <c r="B308" s="26"/>
      <c r="C308" s="26"/>
      <c r="D308" s="26"/>
      <c r="E308" s="28"/>
      <c r="F308" s="28"/>
    </row>
    <row r="309" customFormat="false" ht="15" hidden="false" customHeight="false" outlineLevel="0" collapsed="false">
      <c r="A309" s="26"/>
      <c r="B309" s="26"/>
      <c r="C309" s="26"/>
      <c r="D309" s="26"/>
      <c r="E309" s="28"/>
      <c r="F309" s="28"/>
    </row>
    <row r="310" customFormat="false" ht="15" hidden="false" customHeight="false" outlineLevel="0" collapsed="false">
      <c r="A310" s="26"/>
      <c r="B310" s="26"/>
      <c r="C310" s="26"/>
      <c r="D310" s="26"/>
      <c r="E310" s="28"/>
      <c r="F310" s="28"/>
    </row>
    <row r="311" customFormat="false" ht="15" hidden="false" customHeight="false" outlineLevel="0" collapsed="false">
      <c r="A311" s="26"/>
      <c r="B311" s="26"/>
      <c r="C311" s="26"/>
      <c r="D311" s="26"/>
      <c r="E311" s="28"/>
      <c r="F311" s="28"/>
    </row>
    <row r="312" customFormat="false" ht="15" hidden="false" customHeight="false" outlineLevel="0" collapsed="false">
      <c r="A312" s="26"/>
      <c r="B312" s="26"/>
      <c r="C312" s="26"/>
      <c r="D312" s="26"/>
      <c r="E312" s="28"/>
      <c r="F312" s="28"/>
    </row>
    <row r="313" customFormat="false" ht="15" hidden="false" customHeight="false" outlineLevel="0" collapsed="false">
      <c r="A313" s="26"/>
      <c r="B313" s="26"/>
      <c r="C313" s="26"/>
      <c r="D313" s="26"/>
      <c r="E313" s="28"/>
      <c r="F313" s="28"/>
    </row>
    <row r="314" customFormat="false" ht="15" hidden="false" customHeight="false" outlineLevel="0" collapsed="false">
      <c r="A314" s="26"/>
      <c r="B314" s="26"/>
      <c r="C314" s="26"/>
      <c r="D314" s="26"/>
      <c r="E314" s="28"/>
      <c r="F314" s="28"/>
    </row>
    <row r="315" customFormat="false" ht="15" hidden="false" customHeight="false" outlineLevel="0" collapsed="false">
      <c r="A315" s="26"/>
      <c r="B315" s="26"/>
      <c r="C315" s="26"/>
      <c r="D315" s="26"/>
      <c r="E315" s="28"/>
      <c r="F315" s="28"/>
    </row>
    <row r="316" customFormat="false" ht="15" hidden="false" customHeight="false" outlineLevel="0" collapsed="false">
      <c r="A316" s="26"/>
      <c r="B316" s="26"/>
      <c r="C316" s="26"/>
      <c r="D316" s="26"/>
      <c r="E316" s="28"/>
      <c r="F316" s="28"/>
    </row>
    <row r="317" customFormat="false" ht="15" hidden="false" customHeight="false" outlineLevel="0" collapsed="false">
      <c r="A317" s="26"/>
      <c r="B317" s="26"/>
      <c r="C317" s="26"/>
      <c r="D317" s="26"/>
      <c r="E317" s="28"/>
      <c r="F317" s="28"/>
    </row>
    <row r="318" customFormat="false" ht="15" hidden="false" customHeight="false" outlineLevel="0" collapsed="false">
      <c r="A318" s="26"/>
      <c r="B318" s="26"/>
      <c r="C318" s="26"/>
      <c r="D318" s="26"/>
      <c r="E318" s="28"/>
      <c r="F318" s="28"/>
    </row>
    <row r="319" customFormat="false" ht="15" hidden="false" customHeight="false" outlineLevel="0" collapsed="false">
      <c r="A319" s="26"/>
      <c r="B319" s="26"/>
      <c r="C319" s="26"/>
      <c r="D319" s="26"/>
      <c r="E319" s="28"/>
      <c r="F319" s="28"/>
    </row>
    <row r="320" customFormat="false" ht="15" hidden="false" customHeight="false" outlineLevel="0" collapsed="false">
      <c r="A320" s="26"/>
      <c r="B320" s="26"/>
      <c r="C320" s="26"/>
      <c r="D320" s="26"/>
      <c r="E320" s="28"/>
      <c r="F320" s="28"/>
    </row>
    <row r="321" customFormat="false" ht="15" hidden="false" customHeight="false" outlineLevel="0" collapsed="false">
      <c r="A321" s="26"/>
      <c r="B321" s="26"/>
      <c r="C321" s="26"/>
      <c r="D321" s="26"/>
      <c r="E321" s="28"/>
      <c r="F321" s="28"/>
    </row>
    <row r="322" customFormat="false" ht="15" hidden="false" customHeight="false" outlineLevel="0" collapsed="false">
      <c r="A322" s="26"/>
      <c r="B322" s="26"/>
      <c r="C322" s="26"/>
      <c r="D322" s="26"/>
      <c r="E322" s="28"/>
      <c r="F322" s="28"/>
    </row>
    <row r="323" customFormat="false" ht="15" hidden="false" customHeight="false" outlineLevel="0" collapsed="false">
      <c r="A323" s="26"/>
      <c r="B323" s="26"/>
      <c r="C323" s="26"/>
      <c r="D323" s="26"/>
      <c r="E323" s="28"/>
      <c r="F323" s="28"/>
    </row>
    <row r="324" customFormat="false" ht="15" hidden="false" customHeight="false" outlineLevel="0" collapsed="false">
      <c r="A324" s="26"/>
      <c r="B324" s="26"/>
      <c r="C324" s="26"/>
      <c r="D324" s="26"/>
      <c r="E324" s="28"/>
      <c r="F324" s="28"/>
    </row>
    <row r="325" customFormat="false" ht="15" hidden="false" customHeight="false" outlineLevel="0" collapsed="false">
      <c r="A325" s="26"/>
      <c r="B325" s="26"/>
      <c r="C325" s="26"/>
      <c r="D325" s="26"/>
      <c r="E325" s="28"/>
      <c r="F325" s="28"/>
    </row>
    <row r="326" customFormat="false" ht="15" hidden="false" customHeight="false" outlineLevel="0" collapsed="false">
      <c r="A326" s="26"/>
      <c r="B326" s="26"/>
      <c r="C326" s="26"/>
      <c r="D326" s="26"/>
      <c r="E326" s="28"/>
      <c r="F326" s="28"/>
    </row>
    <row r="327" customFormat="false" ht="15" hidden="false" customHeight="false" outlineLevel="0" collapsed="false">
      <c r="A327" s="26"/>
      <c r="B327" s="26"/>
      <c r="C327" s="26"/>
      <c r="D327" s="26"/>
      <c r="E327" s="28"/>
      <c r="F327" s="28"/>
    </row>
    <row r="328" customFormat="false" ht="15" hidden="false" customHeight="false" outlineLevel="0" collapsed="false">
      <c r="A328" s="26"/>
      <c r="B328" s="26"/>
      <c r="C328" s="26"/>
      <c r="D328" s="26"/>
      <c r="E328" s="28"/>
      <c r="F328" s="28"/>
    </row>
    <row r="329" customFormat="false" ht="15" hidden="false" customHeight="false" outlineLevel="0" collapsed="false">
      <c r="A329" s="26"/>
      <c r="B329" s="26"/>
      <c r="C329" s="26"/>
      <c r="D329" s="26"/>
      <c r="E329" s="28"/>
      <c r="F329" s="28"/>
    </row>
    <row r="330" customFormat="false" ht="15" hidden="false" customHeight="false" outlineLevel="0" collapsed="false">
      <c r="A330" s="26"/>
      <c r="B330" s="26"/>
      <c r="C330" s="26"/>
      <c r="D330" s="26"/>
      <c r="E330" s="28"/>
      <c r="F330" s="28"/>
    </row>
    <row r="331" customFormat="false" ht="15" hidden="false" customHeight="false" outlineLevel="0" collapsed="false">
      <c r="A331" s="26"/>
      <c r="B331" s="26"/>
      <c r="C331" s="26"/>
      <c r="D331" s="26"/>
      <c r="E331" s="28"/>
      <c r="F331" s="28"/>
    </row>
    <row r="332" customFormat="false" ht="15" hidden="false" customHeight="false" outlineLevel="0" collapsed="false">
      <c r="A332" s="26"/>
      <c r="B332" s="26"/>
      <c r="C332" s="26"/>
      <c r="D332" s="26"/>
      <c r="E332" s="28"/>
      <c r="F332" s="28"/>
    </row>
    <row r="333" customFormat="false" ht="15" hidden="false" customHeight="false" outlineLevel="0" collapsed="false">
      <c r="A333" s="26"/>
      <c r="B333" s="26"/>
      <c r="C333" s="26"/>
      <c r="D333" s="26"/>
      <c r="E333" s="28"/>
      <c r="F333" s="28"/>
    </row>
    <row r="334" customFormat="false" ht="15" hidden="false" customHeight="false" outlineLevel="0" collapsed="false">
      <c r="A334" s="26"/>
      <c r="B334" s="26"/>
      <c r="C334" s="26"/>
      <c r="D334" s="26"/>
      <c r="E334" s="28"/>
      <c r="F334" s="28"/>
    </row>
    <row r="335" customFormat="false" ht="15" hidden="false" customHeight="false" outlineLevel="0" collapsed="false">
      <c r="A335" s="26"/>
      <c r="B335" s="26"/>
      <c r="C335" s="26"/>
      <c r="D335" s="26"/>
      <c r="E335" s="28"/>
      <c r="F335" s="28"/>
    </row>
    <row r="336" customFormat="false" ht="15" hidden="false" customHeight="false" outlineLevel="0" collapsed="false">
      <c r="A336" s="26"/>
      <c r="B336" s="26"/>
      <c r="C336" s="26"/>
      <c r="D336" s="26"/>
      <c r="E336" s="28"/>
      <c r="F336" s="28"/>
    </row>
    <row r="337" customFormat="false" ht="15" hidden="false" customHeight="false" outlineLevel="0" collapsed="false">
      <c r="A337" s="26"/>
      <c r="B337" s="26"/>
      <c r="C337" s="26"/>
      <c r="D337" s="26"/>
      <c r="E337" s="28"/>
      <c r="F337" s="28"/>
    </row>
    <row r="338" customFormat="false" ht="15" hidden="false" customHeight="false" outlineLevel="0" collapsed="false">
      <c r="A338" s="26"/>
      <c r="B338" s="26"/>
      <c r="C338" s="26"/>
      <c r="D338" s="26"/>
      <c r="E338" s="28"/>
      <c r="F338" s="28"/>
    </row>
    <row r="339" customFormat="false" ht="15" hidden="false" customHeight="false" outlineLevel="0" collapsed="false">
      <c r="A339" s="26"/>
      <c r="B339" s="26"/>
      <c r="C339" s="26"/>
      <c r="D339" s="26"/>
      <c r="E339" s="28"/>
      <c r="F339" s="28"/>
    </row>
    <row r="340" customFormat="false" ht="15" hidden="false" customHeight="false" outlineLevel="0" collapsed="false">
      <c r="A340" s="26"/>
      <c r="B340" s="26"/>
      <c r="C340" s="26"/>
      <c r="D340" s="26"/>
      <c r="E340" s="28"/>
      <c r="F340" s="28"/>
    </row>
    <row r="341" customFormat="false" ht="15" hidden="false" customHeight="false" outlineLevel="0" collapsed="false">
      <c r="A341" s="26"/>
      <c r="B341" s="26"/>
      <c r="C341" s="26"/>
      <c r="D341" s="26"/>
      <c r="E341" s="28"/>
      <c r="F341" s="28"/>
    </row>
    <row r="342" customFormat="false" ht="15" hidden="false" customHeight="false" outlineLevel="0" collapsed="false">
      <c r="A342" s="26"/>
      <c r="B342" s="26"/>
      <c r="C342" s="26"/>
      <c r="D342" s="26"/>
      <c r="E342" s="28"/>
      <c r="F342" s="28"/>
    </row>
    <row r="343" customFormat="false" ht="15" hidden="false" customHeight="false" outlineLevel="0" collapsed="false">
      <c r="A343" s="26"/>
      <c r="B343" s="26"/>
      <c r="C343" s="26"/>
      <c r="D343" s="26"/>
      <c r="E343" s="28"/>
      <c r="F343" s="28"/>
    </row>
    <row r="344" customFormat="false" ht="15" hidden="false" customHeight="false" outlineLevel="0" collapsed="false">
      <c r="A344" s="26"/>
      <c r="B344" s="26"/>
      <c r="C344" s="26"/>
      <c r="D344" s="26"/>
      <c r="E344" s="28"/>
      <c r="F344" s="28"/>
    </row>
    <row r="345" customFormat="false" ht="15" hidden="false" customHeight="false" outlineLevel="0" collapsed="false">
      <c r="A345" s="26"/>
      <c r="B345" s="26"/>
      <c r="C345" s="26"/>
      <c r="D345" s="26"/>
      <c r="E345" s="28"/>
      <c r="F345" s="28"/>
    </row>
    <row r="346" customFormat="false" ht="15" hidden="false" customHeight="false" outlineLevel="0" collapsed="false">
      <c r="A346" s="26"/>
      <c r="B346" s="26"/>
      <c r="C346" s="26"/>
      <c r="D346" s="26"/>
      <c r="E346" s="28"/>
      <c r="F346" s="28"/>
    </row>
    <row r="347" customFormat="false" ht="15" hidden="false" customHeight="false" outlineLevel="0" collapsed="false">
      <c r="A347" s="26"/>
      <c r="B347" s="26"/>
      <c r="C347" s="26"/>
      <c r="D347" s="26"/>
      <c r="E347" s="28"/>
      <c r="F347" s="28"/>
    </row>
    <row r="348" customFormat="false" ht="15" hidden="false" customHeight="false" outlineLevel="0" collapsed="false">
      <c r="A348" s="26"/>
      <c r="B348" s="26"/>
      <c r="C348" s="26"/>
      <c r="D348" s="26"/>
      <c r="E348" s="28"/>
      <c r="F348" s="28"/>
    </row>
    <row r="349" customFormat="false" ht="15" hidden="false" customHeight="false" outlineLevel="0" collapsed="false">
      <c r="A349" s="26"/>
      <c r="B349" s="26"/>
      <c r="C349" s="26"/>
      <c r="D349" s="26"/>
      <c r="E349" s="28"/>
      <c r="F349" s="28"/>
    </row>
    <row r="350" customFormat="false" ht="15" hidden="false" customHeight="false" outlineLevel="0" collapsed="false">
      <c r="A350" s="26"/>
      <c r="B350" s="26"/>
      <c r="C350" s="26"/>
      <c r="D350" s="26"/>
      <c r="E350" s="28"/>
      <c r="F350" s="28"/>
    </row>
    <row r="351" customFormat="false" ht="15" hidden="false" customHeight="false" outlineLevel="0" collapsed="false">
      <c r="A351" s="26"/>
      <c r="B351" s="26"/>
      <c r="C351" s="26"/>
      <c r="D351" s="26"/>
      <c r="E351" s="28"/>
      <c r="F351" s="28"/>
    </row>
    <row r="352" customFormat="false" ht="15" hidden="false" customHeight="false" outlineLevel="0" collapsed="false">
      <c r="A352" s="26"/>
      <c r="B352" s="26"/>
      <c r="C352" s="26"/>
      <c r="D352" s="26"/>
      <c r="E352" s="28"/>
      <c r="F352" s="28"/>
    </row>
    <row r="353" customFormat="false" ht="15" hidden="false" customHeight="false" outlineLevel="0" collapsed="false">
      <c r="A353" s="26"/>
      <c r="B353" s="26"/>
      <c r="C353" s="26"/>
      <c r="D353" s="26"/>
      <c r="E353" s="28"/>
      <c r="F353" s="28"/>
    </row>
    <row r="354" customFormat="false" ht="15" hidden="false" customHeight="false" outlineLevel="0" collapsed="false">
      <c r="A354" s="26"/>
      <c r="B354" s="26"/>
      <c r="C354" s="26"/>
      <c r="D354" s="26"/>
      <c r="E354" s="28"/>
      <c r="F354" s="28"/>
    </row>
    <row r="355" customFormat="false" ht="15" hidden="false" customHeight="false" outlineLevel="0" collapsed="false">
      <c r="A355" s="26"/>
      <c r="B355" s="26"/>
      <c r="C355" s="26"/>
      <c r="D355" s="26"/>
      <c r="E355" s="28"/>
      <c r="F355" s="28"/>
    </row>
    <row r="356" customFormat="false" ht="15" hidden="false" customHeight="false" outlineLevel="0" collapsed="false">
      <c r="A356" s="26"/>
      <c r="B356" s="26"/>
      <c r="C356" s="26"/>
      <c r="D356" s="26"/>
      <c r="E356" s="28"/>
      <c r="F356" s="28"/>
    </row>
    <row r="357" customFormat="false" ht="15" hidden="false" customHeight="false" outlineLevel="0" collapsed="false">
      <c r="A357" s="26"/>
      <c r="B357" s="26"/>
      <c r="C357" s="26"/>
      <c r="D357" s="26"/>
      <c r="E357" s="28"/>
      <c r="F357" s="28"/>
    </row>
    <row r="358" customFormat="false" ht="15" hidden="false" customHeight="false" outlineLevel="0" collapsed="false">
      <c r="A358" s="26"/>
      <c r="B358" s="26"/>
      <c r="C358" s="26"/>
      <c r="D358" s="26"/>
      <c r="E358" s="28"/>
      <c r="F358" s="28"/>
    </row>
    <row r="359" customFormat="false" ht="15" hidden="false" customHeight="false" outlineLevel="0" collapsed="false">
      <c r="A359" s="26"/>
      <c r="B359" s="26"/>
      <c r="C359" s="26"/>
      <c r="D359" s="26"/>
      <c r="E359" s="28"/>
      <c r="F359" s="28"/>
    </row>
    <row r="360" customFormat="false" ht="15" hidden="false" customHeight="false" outlineLevel="0" collapsed="false">
      <c r="A360" s="26"/>
      <c r="B360" s="26"/>
      <c r="C360" s="26"/>
      <c r="D360" s="26"/>
      <c r="E360" s="28"/>
      <c r="F360" s="28"/>
    </row>
    <row r="361" customFormat="false" ht="15" hidden="false" customHeight="false" outlineLevel="0" collapsed="false">
      <c r="A361" s="26"/>
      <c r="B361" s="26"/>
      <c r="C361" s="26"/>
      <c r="D361" s="26"/>
      <c r="E361" s="28"/>
      <c r="F361" s="28"/>
    </row>
    <row r="362" customFormat="false" ht="15" hidden="false" customHeight="false" outlineLevel="0" collapsed="false">
      <c r="A362" s="26"/>
      <c r="B362" s="26"/>
      <c r="C362" s="26"/>
      <c r="D362" s="26"/>
      <c r="E362" s="28"/>
      <c r="F362" s="28"/>
    </row>
    <row r="363" customFormat="false" ht="15" hidden="false" customHeight="false" outlineLevel="0" collapsed="false">
      <c r="A363" s="26"/>
      <c r="B363" s="26"/>
      <c r="C363" s="26"/>
      <c r="D363" s="26"/>
      <c r="E363" s="28"/>
      <c r="F363" s="28"/>
    </row>
    <row r="364" customFormat="false" ht="15" hidden="false" customHeight="false" outlineLevel="0" collapsed="false">
      <c r="A364" s="26"/>
      <c r="B364" s="26"/>
      <c r="C364" s="26"/>
      <c r="D364" s="26"/>
      <c r="E364" s="28"/>
      <c r="F364" s="28"/>
    </row>
    <row r="365" customFormat="false" ht="15" hidden="false" customHeight="false" outlineLevel="0" collapsed="false">
      <c r="A365" s="26"/>
      <c r="B365" s="26"/>
      <c r="C365" s="26"/>
      <c r="D365" s="26"/>
      <c r="E365" s="28"/>
      <c r="F365" s="28"/>
    </row>
    <row r="366" customFormat="false" ht="15" hidden="false" customHeight="false" outlineLevel="0" collapsed="false">
      <c r="A366" s="26"/>
      <c r="B366" s="26"/>
      <c r="C366" s="26"/>
      <c r="D366" s="26"/>
      <c r="E366" s="28"/>
      <c r="F366" s="28"/>
    </row>
    <row r="367" customFormat="false" ht="15" hidden="false" customHeight="false" outlineLevel="0" collapsed="false">
      <c r="A367" s="26"/>
      <c r="B367" s="26"/>
      <c r="C367" s="26"/>
      <c r="D367" s="26"/>
      <c r="E367" s="28"/>
      <c r="F367" s="28"/>
    </row>
    <row r="368" customFormat="false" ht="15" hidden="false" customHeight="false" outlineLevel="0" collapsed="false">
      <c r="A368" s="26"/>
      <c r="B368" s="26"/>
      <c r="C368" s="26"/>
      <c r="D368" s="26"/>
      <c r="E368" s="28"/>
      <c r="F368" s="28"/>
    </row>
    <row r="369" customFormat="false" ht="15" hidden="false" customHeight="false" outlineLevel="0" collapsed="false">
      <c r="A369" s="26"/>
      <c r="B369" s="26"/>
      <c r="C369" s="26"/>
      <c r="D369" s="26"/>
      <c r="E369" s="28"/>
      <c r="F369" s="28"/>
    </row>
    <row r="370" customFormat="false" ht="15" hidden="false" customHeight="false" outlineLevel="0" collapsed="false">
      <c r="A370" s="26"/>
      <c r="B370" s="26"/>
      <c r="C370" s="26"/>
      <c r="D370" s="26"/>
      <c r="E370" s="28"/>
      <c r="F370" s="28"/>
    </row>
    <row r="371" customFormat="false" ht="15" hidden="false" customHeight="false" outlineLevel="0" collapsed="false">
      <c r="A371" s="26"/>
      <c r="B371" s="26"/>
      <c r="C371" s="26"/>
      <c r="D371" s="26"/>
      <c r="E371" s="28"/>
      <c r="F371" s="28"/>
    </row>
    <row r="372" customFormat="false" ht="15" hidden="false" customHeight="false" outlineLevel="0" collapsed="false">
      <c r="A372" s="26"/>
      <c r="B372" s="26"/>
      <c r="C372" s="26"/>
      <c r="D372" s="26"/>
      <c r="E372" s="28"/>
      <c r="F372" s="28"/>
    </row>
    <row r="373" customFormat="false" ht="15" hidden="false" customHeight="false" outlineLevel="0" collapsed="false">
      <c r="A373" s="26"/>
      <c r="B373" s="26"/>
      <c r="C373" s="26"/>
      <c r="D373" s="26"/>
      <c r="E373" s="28"/>
      <c r="F373" s="28"/>
    </row>
    <row r="374" customFormat="false" ht="15" hidden="false" customHeight="false" outlineLevel="0" collapsed="false">
      <c r="A374" s="26"/>
      <c r="B374" s="26"/>
      <c r="C374" s="26"/>
      <c r="D374" s="26"/>
      <c r="E374" s="28"/>
      <c r="F374" s="28"/>
    </row>
    <row r="375" customFormat="false" ht="15" hidden="false" customHeight="false" outlineLevel="0" collapsed="false">
      <c r="A375" s="26"/>
      <c r="B375" s="26"/>
      <c r="C375" s="26"/>
      <c r="D375" s="26"/>
      <c r="E375" s="28"/>
      <c r="F375" s="28"/>
    </row>
    <row r="376" customFormat="false" ht="15" hidden="false" customHeight="false" outlineLevel="0" collapsed="false">
      <c r="A376" s="26"/>
      <c r="B376" s="26"/>
      <c r="C376" s="26"/>
      <c r="D376" s="26"/>
      <c r="E376" s="28"/>
      <c r="F376" s="28"/>
    </row>
    <row r="377" customFormat="false" ht="15" hidden="false" customHeight="false" outlineLevel="0" collapsed="false">
      <c r="A377" s="26"/>
      <c r="B377" s="26"/>
      <c r="C377" s="26"/>
      <c r="D377" s="26"/>
      <c r="E377" s="28"/>
      <c r="F377" s="28"/>
    </row>
    <row r="378" customFormat="false" ht="15" hidden="false" customHeight="false" outlineLevel="0" collapsed="false">
      <c r="A378" s="26"/>
      <c r="B378" s="26"/>
      <c r="C378" s="26"/>
      <c r="D378" s="26"/>
      <c r="E378" s="28"/>
      <c r="F378" s="28"/>
    </row>
    <row r="379" customFormat="false" ht="15" hidden="false" customHeight="false" outlineLevel="0" collapsed="false">
      <c r="A379" s="26"/>
      <c r="B379" s="26"/>
      <c r="C379" s="26"/>
      <c r="D379" s="26"/>
      <c r="E379" s="28"/>
      <c r="F379" s="28"/>
    </row>
    <row r="380" customFormat="false" ht="15" hidden="false" customHeight="false" outlineLevel="0" collapsed="false">
      <c r="A380" s="26"/>
      <c r="B380" s="26"/>
      <c r="C380" s="26"/>
      <c r="D380" s="26"/>
      <c r="E380" s="28"/>
      <c r="F380" s="28"/>
    </row>
    <row r="381" customFormat="false" ht="15" hidden="false" customHeight="false" outlineLevel="0" collapsed="false">
      <c r="A381" s="26"/>
      <c r="B381" s="26"/>
      <c r="C381" s="26"/>
      <c r="D381" s="26"/>
      <c r="E381" s="28"/>
      <c r="F381" s="28"/>
    </row>
    <row r="382" customFormat="false" ht="15" hidden="false" customHeight="false" outlineLevel="0" collapsed="false">
      <c r="A382" s="26"/>
      <c r="B382" s="26"/>
      <c r="C382" s="26"/>
      <c r="D382" s="26"/>
      <c r="E382" s="28"/>
      <c r="F382" s="28"/>
    </row>
    <row r="383" customFormat="false" ht="15" hidden="false" customHeight="false" outlineLevel="0" collapsed="false">
      <c r="A383" s="26"/>
      <c r="B383" s="26"/>
      <c r="C383" s="26"/>
      <c r="D383" s="26"/>
      <c r="E383" s="28"/>
      <c r="F383" s="28"/>
    </row>
    <row r="384" customFormat="false" ht="15" hidden="false" customHeight="false" outlineLevel="0" collapsed="false">
      <c r="A384" s="26"/>
      <c r="B384" s="26"/>
      <c r="C384" s="26"/>
      <c r="D384" s="26"/>
      <c r="E384" s="28"/>
      <c r="F384" s="28"/>
    </row>
    <row r="385" customFormat="false" ht="15" hidden="false" customHeight="false" outlineLevel="0" collapsed="false">
      <c r="A385" s="26"/>
      <c r="B385" s="26"/>
      <c r="C385" s="26"/>
      <c r="D385" s="26"/>
      <c r="E385" s="28"/>
      <c r="F385" s="28"/>
    </row>
    <row r="386" customFormat="false" ht="15" hidden="false" customHeight="false" outlineLevel="0" collapsed="false">
      <c r="A386" s="26"/>
      <c r="B386" s="26"/>
      <c r="C386" s="26"/>
      <c r="D386" s="26"/>
      <c r="E386" s="28"/>
      <c r="F386" s="28"/>
    </row>
    <row r="387" customFormat="false" ht="15" hidden="false" customHeight="false" outlineLevel="0" collapsed="false">
      <c r="A387" s="26"/>
      <c r="B387" s="26"/>
      <c r="C387" s="26"/>
      <c r="D387" s="26"/>
      <c r="E387" s="28"/>
      <c r="F387" s="28"/>
    </row>
    <row r="388" customFormat="false" ht="15" hidden="false" customHeight="false" outlineLevel="0" collapsed="false">
      <c r="A388" s="26"/>
      <c r="B388" s="26"/>
      <c r="C388" s="26"/>
      <c r="D388" s="26"/>
      <c r="E388" s="28"/>
      <c r="F388" s="28"/>
    </row>
    <row r="389" customFormat="false" ht="15" hidden="false" customHeight="false" outlineLevel="0" collapsed="false">
      <c r="A389" s="26"/>
      <c r="B389" s="26"/>
      <c r="C389" s="26"/>
      <c r="D389" s="26"/>
      <c r="E389" s="28"/>
      <c r="F389" s="28"/>
    </row>
    <row r="390" customFormat="false" ht="15" hidden="false" customHeight="false" outlineLevel="0" collapsed="false">
      <c r="A390" s="26"/>
      <c r="B390" s="26"/>
      <c r="C390" s="26"/>
      <c r="D390" s="26"/>
      <c r="E390" s="28"/>
      <c r="F390" s="28"/>
    </row>
    <row r="391" customFormat="false" ht="15" hidden="false" customHeight="false" outlineLevel="0" collapsed="false">
      <c r="A391" s="26"/>
      <c r="B391" s="26"/>
      <c r="C391" s="26"/>
      <c r="D391" s="26"/>
      <c r="E391" s="28"/>
      <c r="F391" s="28"/>
    </row>
    <row r="392" customFormat="false" ht="15" hidden="false" customHeight="false" outlineLevel="0" collapsed="false">
      <c r="A392" s="26"/>
      <c r="B392" s="26"/>
      <c r="C392" s="26"/>
      <c r="D392" s="26"/>
      <c r="E392" s="28"/>
      <c r="F392" s="28"/>
    </row>
    <row r="393" customFormat="false" ht="15" hidden="false" customHeight="false" outlineLevel="0" collapsed="false">
      <c r="A393" s="26"/>
      <c r="B393" s="26"/>
      <c r="C393" s="26"/>
      <c r="D393" s="26"/>
      <c r="E393" s="28"/>
      <c r="F393" s="28"/>
    </row>
    <row r="394" customFormat="false" ht="15" hidden="false" customHeight="false" outlineLevel="0" collapsed="false">
      <c r="A394" s="26"/>
      <c r="B394" s="26"/>
      <c r="C394" s="26"/>
      <c r="D394" s="26"/>
      <c r="E394" s="28"/>
      <c r="F394" s="28"/>
    </row>
    <row r="395" customFormat="false" ht="15" hidden="false" customHeight="false" outlineLevel="0" collapsed="false">
      <c r="A395" s="26"/>
      <c r="B395" s="26"/>
      <c r="C395" s="26"/>
      <c r="D395" s="26"/>
      <c r="E395" s="28"/>
      <c r="F395" s="28"/>
    </row>
    <row r="396" customFormat="false" ht="15" hidden="false" customHeight="false" outlineLevel="0" collapsed="false">
      <c r="A396" s="26"/>
      <c r="B396" s="26"/>
      <c r="C396" s="26"/>
      <c r="D396" s="26"/>
      <c r="E396" s="28"/>
      <c r="F396" s="28"/>
    </row>
    <row r="397" customFormat="false" ht="15" hidden="false" customHeight="false" outlineLevel="0" collapsed="false">
      <c r="A397" s="26"/>
      <c r="B397" s="26"/>
      <c r="C397" s="26"/>
      <c r="D397" s="26"/>
      <c r="E397" s="28"/>
      <c r="F397" s="28"/>
    </row>
    <row r="398" customFormat="false" ht="15" hidden="false" customHeight="false" outlineLevel="0" collapsed="false">
      <c r="A398" s="26"/>
      <c r="B398" s="26"/>
      <c r="C398" s="26"/>
      <c r="D398" s="26"/>
      <c r="E398" s="28"/>
      <c r="F398" s="28"/>
    </row>
    <row r="399" customFormat="false" ht="15" hidden="false" customHeight="false" outlineLevel="0" collapsed="false">
      <c r="A399" s="26"/>
      <c r="B399" s="26"/>
      <c r="C399" s="26"/>
      <c r="D399" s="26"/>
      <c r="E399" s="28"/>
      <c r="F399" s="28"/>
    </row>
    <row r="400" customFormat="false" ht="15" hidden="false" customHeight="false" outlineLevel="0" collapsed="false">
      <c r="A400" s="26"/>
      <c r="B400" s="26"/>
      <c r="C400" s="26"/>
      <c r="D400" s="26"/>
      <c r="E400" s="28"/>
      <c r="F400" s="28"/>
    </row>
    <row r="401" customFormat="false" ht="15" hidden="false" customHeight="false" outlineLevel="0" collapsed="false">
      <c r="A401" s="26"/>
      <c r="B401" s="26"/>
      <c r="C401" s="26"/>
      <c r="D401" s="26"/>
      <c r="E401" s="28"/>
      <c r="F401" s="28"/>
    </row>
    <row r="402" customFormat="false" ht="15" hidden="false" customHeight="false" outlineLevel="0" collapsed="false">
      <c r="A402" s="26"/>
      <c r="B402" s="26"/>
      <c r="C402" s="26"/>
      <c r="D402" s="26"/>
      <c r="E402" s="28"/>
      <c r="F402" s="28"/>
    </row>
    <row r="403" customFormat="false" ht="15" hidden="false" customHeight="false" outlineLevel="0" collapsed="false">
      <c r="A403" s="26"/>
      <c r="B403" s="26"/>
      <c r="C403" s="26"/>
      <c r="D403" s="26"/>
      <c r="E403" s="28"/>
      <c r="F403" s="28"/>
    </row>
    <row r="404" customFormat="false" ht="15" hidden="false" customHeight="false" outlineLevel="0" collapsed="false">
      <c r="A404" s="26"/>
      <c r="B404" s="26"/>
      <c r="C404" s="26"/>
      <c r="D404" s="26"/>
      <c r="E404" s="28"/>
      <c r="F404" s="28"/>
    </row>
    <row r="405" customFormat="false" ht="15" hidden="false" customHeight="false" outlineLevel="0" collapsed="false">
      <c r="A405" s="26"/>
      <c r="B405" s="26"/>
      <c r="C405" s="26"/>
      <c r="D405" s="26"/>
      <c r="E405" s="28"/>
      <c r="F405" s="28"/>
    </row>
    <row r="406" customFormat="false" ht="15" hidden="false" customHeight="false" outlineLevel="0" collapsed="false">
      <c r="A406" s="26"/>
      <c r="B406" s="26"/>
      <c r="C406" s="26"/>
      <c r="D406" s="26"/>
      <c r="E406" s="28"/>
      <c r="F406" s="28"/>
    </row>
    <row r="407" customFormat="false" ht="15" hidden="false" customHeight="false" outlineLevel="0" collapsed="false">
      <c r="A407" s="26"/>
      <c r="B407" s="26"/>
      <c r="C407" s="26"/>
      <c r="D407" s="26"/>
      <c r="E407" s="28"/>
      <c r="F407" s="28"/>
    </row>
    <row r="408" customFormat="false" ht="15" hidden="false" customHeight="false" outlineLevel="0" collapsed="false">
      <c r="A408" s="26"/>
      <c r="B408" s="26"/>
      <c r="C408" s="26"/>
      <c r="D408" s="26"/>
      <c r="E408" s="28"/>
      <c r="F408" s="28"/>
    </row>
    <row r="409" customFormat="false" ht="15" hidden="false" customHeight="false" outlineLevel="0" collapsed="false">
      <c r="A409" s="26"/>
      <c r="B409" s="26"/>
      <c r="C409" s="26"/>
      <c r="D409" s="26"/>
      <c r="E409" s="28"/>
      <c r="F409" s="28"/>
    </row>
    <row r="410" customFormat="false" ht="15" hidden="false" customHeight="false" outlineLevel="0" collapsed="false">
      <c r="A410" s="26"/>
      <c r="B410" s="26"/>
      <c r="C410" s="26"/>
      <c r="D410" s="26"/>
      <c r="E410" s="28"/>
      <c r="F410" s="28"/>
    </row>
    <row r="411" customFormat="false" ht="15" hidden="false" customHeight="false" outlineLevel="0" collapsed="false">
      <c r="A411" s="26"/>
      <c r="B411" s="26"/>
      <c r="C411" s="26"/>
      <c r="D411" s="26"/>
      <c r="E411" s="28"/>
      <c r="F411" s="28"/>
    </row>
    <row r="412" customFormat="false" ht="15" hidden="false" customHeight="false" outlineLevel="0" collapsed="false">
      <c r="A412" s="26"/>
      <c r="B412" s="26"/>
      <c r="C412" s="26"/>
      <c r="D412" s="26"/>
      <c r="E412" s="28"/>
      <c r="F412" s="28"/>
    </row>
    <row r="413" customFormat="false" ht="15" hidden="false" customHeight="false" outlineLevel="0" collapsed="false">
      <c r="A413" s="26"/>
      <c r="B413" s="26"/>
      <c r="C413" s="26"/>
      <c r="D413" s="26"/>
      <c r="E413" s="28"/>
      <c r="F413" s="28"/>
    </row>
    <row r="414" customFormat="false" ht="15" hidden="false" customHeight="false" outlineLevel="0" collapsed="false">
      <c r="A414" s="26"/>
      <c r="B414" s="26"/>
      <c r="C414" s="26"/>
      <c r="D414" s="26"/>
      <c r="E414" s="28"/>
      <c r="F414" s="28"/>
    </row>
    <row r="415" customFormat="false" ht="15" hidden="false" customHeight="false" outlineLevel="0" collapsed="false">
      <c r="A415" s="26"/>
      <c r="B415" s="26"/>
      <c r="C415" s="26"/>
      <c r="D415" s="26"/>
      <c r="E415" s="28"/>
      <c r="F415" s="28"/>
    </row>
    <row r="416" customFormat="false" ht="15" hidden="false" customHeight="false" outlineLevel="0" collapsed="false">
      <c r="A416" s="26"/>
      <c r="B416" s="26"/>
      <c r="C416" s="26"/>
      <c r="D416" s="26"/>
      <c r="E416" s="28"/>
      <c r="F416" s="28"/>
    </row>
    <row r="417" customFormat="false" ht="15" hidden="false" customHeight="false" outlineLevel="0" collapsed="false">
      <c r="A417" s="26"/>
      <c r="B417" s="26"/>
      <c r="C417" s="26"/>
      <c r="D417" s="26"/>
      <c r="E417" s="28"/>
      <c r="F417" s="28"/>
    </row>
    <row r="418" customFormat="false" ht="15" hidden="false" customHeight="false" outlineLevel="0" collapsed="false">
      <c r="A418" s="26"/>
      <c r="B418" s="26"/>
      <c r="C418" s="26"/>
      <c r="D418" s="26"/>
      <c r="E418" s="28"/>
      <c r="F418" s="28"/>
    </row>
    <row r="419" customFormat="false" ht="15" hidden="false" customHeight="false" outlineLevel="0" collapsed="false">
      <c r="A419" s="26"/>
      <c r="B419" s="26"/>
      <c r="C419" s="26"/>
      <c r="D419" s="26"/>
      <c r="E419" s="28"/>
      <c r="F419" s="28"/>
    </row>
    <row r="420" customFormat="false" ht="15" hidden="false" customHeight="false" outlineLevel="0" collapsed="false">
      <c r="A420" s="26"/>
      <c r="B420" s="26"/>
      <c r="C420" s="26"/>
      <c r="D420" s="26"/>
      <c r="E420" s="28"/>
      <c r="F420" s="28"/>
    </row>
    <row r="421" customFormat="false" ht="15" hidden="false" customHeight="false" outlineLevel="0" collapsed="false">
      <c r="A421" s="26"/>
      <c r="B421" s="26"/>
      <c r="C421" s="26"/>
      <c r="D421" s="26"/>
      <c r="E421" s="28"/>
      <c r="F421" s="28"/>
    </row>
    <row r="422" customFormat="false" ht="15" hidden="false" customHeight="false" outlineLevel="0" collapsed="false">
      <c r="A422" s="26"/>
      <c r="B422" s="26"/>
      <c r="C422" s="26"/>
      <c r="D422" s="26"/>
      <c r="E422" s="28"/>
      <c r="F422" s="28"/>
    </row>
    <row r="423" customFormat="false" ht="15" hidden="false" customHeight="false" outlineLevel="0" collapsed="false">
      <c r="A423" s="26"/>
      <c r="B423" s="26"/>
      <c r="C423" s="26"/>
      <c r="D423" s="26"/>
      <c r="E423" s="28"/>
      <c r="F423" s="28"/>
    </row>
    <row r="424" customFormat="false" ht="15" hidden="false" customHeight="false" outlineLevel="0" collapsed="false">
      <c r="A424" s="26"/>
      <c r="B424" s="26"/>
      <c r="C424" s="26"/>
      <c r="D424" s="26"/>
      <c r="E424" s="28"/>
      <c r="F424" s="28"/>
    </row>
    <row r="425" customFormat="false" ht="15" hidden="false" customHeight="false" outlineLevel="0" collapsed="false">
      <c r="A425" s="26"/>
      <c r="B425" s="26"/>
      <c r="C425" s="26"/>
      <c r="D425" s="26"/>
      <c r="E425" s="28"/>
      <c r="F425" s="28"/>
    </row>
    <row r="426" customFormat="false" ht="15" hidden="false" customHeight="false" outlineLevel="0" collapsed="false">
      <c r="A426" s="26"/>
      <c r="B426" s="26"/>
      <c r="C426" s="26"/>
      <c r="D426" s="26"/>
      <c r="E426" s="28"/>
      <c r="F426" s="28"/>
    </row>
    <row r="427" customFormat="false" ht="15" hidden="false" customHeight="false" outlineLevel="0" collapsed="false">
      <c r="A427" s="26"/>
      <c r="B427" s="26"/>
      <c r="C427" s="26"/>
      <c r="D427" s="26"/>
      <c r="E427" s="28"/>
      <c r="F427" s="28"/>
    </row>
    <row r="428" customFormat="false" ht="15" hidden="false" customHeight="false" outlineLevel="0" collapsed="false">
      <c r="A428" s="26"/>
      <c r="B428" s="26"/>
      <c r="C428" s="26"/>
      <c r="D428" s="26"/>
      <c r="E428" s="28"/>
      <c r="F428" s="28"/>
    </row>
    <row r="429" customFormat="false" ht="15" hidden="false" customHeight="false" outlineLevel="0" collapsed="false">
      <c r="A429" s="26"/>
      <c r="B429" s="26"/>
      <c r="C429" s="26"/>
      <c r="D429" s="26"/>
      <c r="E429" s="28"/>
      <c r="F429" s="28"/>
    </row>
    <row r="430" customFormat="false" ht="15" hidden="false" customHeight="false" outlineLevel="0" collapsed="false">
      <c r="A430" s="26"/>
      <c r="B430" s="26"/>
      <c r="C430" s="26"/>
      <c r="D430" s="26"/>
      <c r="E430" s="28"/>
      <c r="F430" s="28"/>
    </row>
    <row r="431" customFormat="false" ht="15" hidden="false" customHeight="false" outlineLevel="0" collapsed="false">
      <c r="A431" s="26"/>
      <c r="B431" s="26"/>
      <c r="C431" s="26"/>
      <c r="D431" s="26"/>
      <c r="E431" s="28"/>
      <c r="F431" s="28"/>
    </row>
    <row r="432" customFormat="false" ht="15" hidden="false" customHeight="false" outlineLevel="0" collapsed="false">
      <c r="A432" s="26"/>
      <c r="B432" s="26"/>
      <c r="C432" s="26"/>
      <c r="D432" s="26"/>
      <c r="E432" s="28"/>
      <c r="F432" s="28"/>
    </row>
    <row r="433" customFormat="false" ht="15" hidden="false" customHeight="false" outlineLevel="0" collapsed="false">
      <c r="A433" s="26"/>
      <c r="B433" s="26"/>
      <c r="C433" s="26"/>
      <c r="D433" s="26"/>
      <c r="E433" s="28"/>
      <c r="F433" s="28"/>
    </row>
    <row r="434" customFormat="false" ht="15" hidden="false" customHeight="false" outlineLevel="0" collapsed="false">
      <c r="A434" s="26"/>
      <c r="B434" s="26"/>
      <c r="C434" s="26"/>
      <c r="D434" s="26"/>
      <c r="E434" s="28"/>
      <c r="F434" s="28"/>
    </row>
    <row r="435" customFormat="false" ht="15" hidden="false" customHeight="false" outlineLevel="0" collapsed="false">
      <c r="A435" s="26"/>
      <c r="B435" s="26"/>
      <c r="C435" s="26"/>
      <c r="D435" s="26"/>
      <c r="E435" s="28"/>
      <c r="F435" s="28"/>
    </row>
    <row r="436" customFormat="false" ht="15" hidden="false" customHeight="false" outlineLevel="0" collapsed="false">
      <c r="A436" s="26"/>
      <c r="B436" s="26"/>
      <c r="C436" s="26"/>
      <c r="D436" s="26"/>
      <c r="E436" s="28"/>
      <c r="F436" s="28"/>
    </row>
    <row r="437" customFormat="false" ht="15" hidden="false" customHeight="false" outlineLevel="0" collapsed="false">
      <c r="A437" s="26"/>
      <c r="B437" s="26"/>
      <c r="C437" s="26"/>
      <c r="D437" s="26"/>
      <c r="E437" s="28"/>
      <c r="F437" s="28"/>
    </row>
    <row r="438" customFormat="false" ht="15" hidden="false" customHeight="false" outlineLevel="0" collapsed="false">
      <c r="A438" s="26"/>
      <c r="B438" s="26"/>
      <c r="C438" s="26"/>
      <c r="D438" s="26"/>
      <c r="E438" s="28"/>
      <c r="F438" s="28"/>
    </row>
    <row r="439" customFormat="false" ht="15" hidden="false" customHeight="false" outlineLevel="0" collapsed="false">
      <c r="A439" s="26"/>
      <c r="B439" s="26"/>
      <c r="C439" s="26"/>
      <c r="D439" s="26"/>
      <c r="E439" s="28"/>
      <c r="F439" s="28"/>
    </row>
    <row r="440" customFormat="false" ht="15" hidden="false" customHeight="false" outlineLevel="0" collapsed="false">
      <c r="A440" s="26"/>
      <c r="B440" s="26"/>
      <c r="C440" s="26"/>
      <c r="D440" s="26"/>
      <c r="E440" s="28"/>
      <c r="F440" s="28"/>
    </row>
    <row r="441" customFormat="false" ht="15" hidden="false" customHeight="false" outlineLevel="0" collapsed="false">
      <c r="A441" s="26"/>
      <c r="B441" s="26"/>
      <c r="C441" s="26"/>
      <c r="D441" s="26"/>
      <c r="E441" s="28"/>
      <c r="F441" s="28"/>
    </row>
    <row r="442" customFormat="false" ht="15" hidden="false" customHeight="false" outlineLevel="0" collapsed="false">
      <c r="A442" s="26"/>
      <c r="B442" s="26"/>
      <c r="C442" s="26"/>
      <c r="D442" s="26"/>
      <c r="E442" s="28"/>
      <c r="F442" s="28"/>
    </row>
    <row r="443" customFormat="false" ht="15" hidden="false" customHeight="false" outlineLevel="0" collapsed="false">
      <c r="A443" s="26"/>
      <c r="B443" s="26"/>
      <c r="C443" s="26"/>
      <c r="D443" s="26"/>
      <c r="E443" s="28"/>
      <c r="F443" s="28"/>
    </row>
    <row r="444" customFormat="false" ht="15" hidden="false" customHeight="false" outlineLevel="0" collapsed="false">
      <c r="A444" s="26"/>
      <c r="B444" s="26"/>
      <c r="C444" s="26"/>
      <c r="D444" s="26"/>
      <c r="E444" s="28"/>
      <c r="F444" s="28"/>
    </row>
    <row r="445" customFormat="false" ht="15" hidden="false" customHeight="false" outlineLevel="0" collapsed="false">
      <c r="A445" s="26"/>
      <c r="B445" s="26"/>
      <c r="C445" s="26"/>
      <c r="D445" s="26"/>
      <c r="E445" s="28"/>
      <c r="F445" s="28"/>
    </row>
    <row r="446" customFormat="false" ht="15" hidden="false" customHeight="false" outlineLevel="0" collapsed="false">
      <c r="A446" s="26"/>
      <c r="B446" s="26"/>
      <c r="C446" s="26"/>
      <c r="D446" s="26"/>
      <c r="E446" s="28"/>
      <c r="F446" s="28"/>
    </row>
    <row r="447" customFormat="false" ht="15" hidden="false" customHeight="false" outlineLevel="0" collapsed="false">
      <c r="A447" s="26"/>
      <c r="B447" s="26"/>
      <c r="C447" s="26"/>
      <c r="D447" s="26"/>
      <c r="E447" s="28"/>
      <c r="F447" s="28"/>
    </row>
    <row r="448" customFormat="false" ht="15" hidden="false" customHeight="false" outlineLevel="0" collapsed="false">
      <c r="A448" s="26"/>
      <c r="B448" s="26"/>
      <c r="C448" s="26"/>
      <c r="D448" s="26"/>
      <c r="E448" s="28"/>
      <c r="F448" s="28"/>
    </row>
    <row r="449" customFormat="false" ht="15" hidden="false" customHeight="false" outlineLevel="0" collapsed="false">
      <c r="A449" s="26"/>
      <c r="B449" s="26"/>
      <c r="C449" s="26"/>
      <c r="D449" s="26"/>
      <c r="E449" s="28"/>
      <c r="F449" s="28"/>
    </row>
    <row r="450" customFormat="false" ht="15" hidden="false" customHeight="false" outlineLevel="0" collapsed="false">
      <c r="A450" s="26"/>
      <c r="B450" s="26"/>
      <c r="C450" s="26"/>
      <c r="D450" s="26"/>
      <c r="E450" s="28"/>
      <c r="F450" s="28"/>
    </row>
    <row r="451" customFormat="false" ht="15" hidden="false" customHeight="false" outlineLevel="0" collapsed="false">
      <c r="A451" s="26"/>
      <c r="B451" s="26"/>
      <c r="C451" s="26"/>
      <c r="D451" s="26"/>
      <c r="E451" s="28"/>
      <c r="F451" s="28"/>
    </row>
    <row r="452" customFormat="false" ht="15" hidden="false" customHeight="false" outlineLevel="0" collapsed="false">
      <c r="A452" s="26"/>
      <c r="B452" s="26"/>
      <c r="C452" s="26"/>
      <c r="D452" s="26"/>
      <c r="E452" s="28"/>
      <c r="F452" s="28"/>
    </row>
    <row r="453" customFormat="false" ht="15" hidden="false" customHeight="false" outlineLevel="0" collapsed="false">
      <c r="A453" s="26"/>
      <c r="B453" s="26"/>
      <c r="C453" s="26"/>
      <c r="D453" s="26"/>
      <c r="E453" s="28"/>
      <c r="F453" s="28"/>
    </row>
    <row r="454" customFormat="false" ht="15" hidden="false" customHeight="false" outlineLevel="0" collapsed="false">
      <c r="A454" s="26"/>
      <c r="B454" s="26"/>
      <c r="C454" s="26"/>
      <c r="D454" s="26"/>
      <c r="E454" s="28"/>
      <c r="F454" s="28"/>
    </row>
    <row r="455" customFormat="false" ht="15" hidden="false" customHeight="false" outlineLevel="0" collapsed="false">
      <c r="A455" s="26"/>
      <c r="B455" s="26"/>
      <c r="C455" s="26"/>
      <c r="D455" s="26"/>
      <c r="E455" s="28"/>
      <c r="F455" s="28"/>
    </row>
    <row r="456" customFormat="false" ht="15" hidden="false" customHeight="false" outlineLevel="0" collapsed="false">
      <c r="A456" s="26"/>
      <c r="B456" s="26"/>
      <c r="C456" s="26"/>
      <c r="D456" s="26"/>
      <c r="E456" s="28"/>
      <c r="F456" s="28"/>
    </row>
    <row r="457" customFormat="false" ht="15" hidden="false" customHeight="false" outlineLevel="0" collapsed="false">
      <c r="A457" s="26"/>
      <c r="B457" s="26"/>
      <c r="C457" s="26"/>
      <c r="D457" s="26"/>
      <c r="E457" s="28"/>
      <c r="F457" s="28"/>
    </row>
    <row r="458" customFormat="false" ht="15" hidden="false" customHeight="false" outlineLevel="0" collapsed="false">
      <c r="A458" s="26"/>
      <c r="B458" s="26"/>
      <c r="C458" s="26"/>
      <c r="D458" s="26"/>
      <c r="E458" s="28"/>
      <c r="F458" s="28"/>
    </row>
    <row r="459" customFormat="false" ht="15" hidden="false" customHeight="false" outlineLevel="0" collapsed="false">
      <c r="A459" s="26"/>
      <c r="B459" s="26"/>
      <c r="C459" s="26"/>
      <c r="D459" s="26"/>
      <c r="E459" s="28"/>
      <c r="F459" s="28"/>
    </row>
    <row r="460" customFormat="false" ht="15" hidden="false" customHeight="false" outlineLevel="0" collapsed="false">
      <c r="A460" s="26"/>
      <c r="B460" s="26"/>
      <c r="C460" s="26"/>
      <c r="D460" s="26"/>
      <c r="E460" s="28"/>
      <c r="F460" s="28"/>
    </row>
    <row r="461" customFormat="false" ht="15" hidden="false" customHeight="false" outlineLevel="0" collapsed="false">
      <c r="A461" s="26"/>
      <c r="B461" s="26"/>
      <c r="C461" s="26"/>
      <c r="D461" s="26"/>
      <c r="E461" s="28"/>
      <c r="F461" s="28"/>
    </row>
    <row r="462" customFormat="false" ht="15" hidden="false" customHeight="false" outlineLevel="0" collapsed="false">
      <c r="A462" s="26"/>
      <c r="B462" s="26"/>
      <c r="C462" s="26"/>
      <c r="D462" s="26"/>
      <c r="E462" s="28"/>
      <c r="F462" s="28"/>
    </row>
    <row r="463" customFormat="false" ht="15" hidden="false" customHeight="false" outlineLevel="0" collapsed="false">
      <c r="A463" s="26"/>
      <c r="B463" s="26"/>
      <c r="C463" s="26"/>
      <c r="D463" s="26"/>
      <c r="E463" s="28"/>
      <c r="F463" s="28"/>
    </row>
    <row r="464" customFormat="false" ht="15" hidden="false" customHeight="false" outlineLevel="0" collapsed="false">
      <c r="A464" s="26"/>
      <c r="B464" s="26"/>
      <c r="C464" s="26"/>
      <c r="D464" s="26"/>
      <c r="E464" s="28"/>
      <c r="F464" s="28"/>
    </row>
    <row r="465" customFormat="false" ht="15" hidden="false" customHeight="false" outlineLevel="0" collapsed="false">
      <c r="A465" s="26"/>
      <c r="B465" s="26"/>
      <c r="C465" s="26"/>
      <c r="D465" s="26"/>
      <c r="E465" s="28"/>
      <c r="F465" s="28"/>
    </row>
    <row r="466" customFormat="false" ht="15" hidden="false" customHeight="false" outlineLevel="0" collapsed="false">
      <c r="A466" s="26"/>
      <c r="B466" s="26"/>
      <c r="C466" s="26"/>
      <c r="D466" s="26"/>
      <c r="E466" s="28"/>
      <c r="F466" s="28"/>
    </row>
    <row r="467" customFormat="false" ht="15" hidden="false" customHeight="false" outlineLevel="0" collapsed="false">
      <c r="A467" s="26"/>
      <c r="B467" s="26"/>
      <c r="C467" s="26"/>
      <c r="D467" s="26"/>
      <c r="E467" s="28"/>
      <c r="F467" s="28"/>
    </row>
    <row r="468" customFormat="false" ht="15" hidden="false" customHeight="false" outlineLevel="0" collapsed="false">
      <c r="A468" s="26"/>
      <c r="B468" s="26"/>
      <c r="C468" s="26"/>
      <c r="D468" s="26"/>
      <c r="E468" s="28"/>
      <c r="F468" s="28"/>
    </row>
    <row r="469" customFormat="false" ht="15" hidden="false" customHeight="false" outlineLevel="0" collapsed="false">
      <c r="A469" s="26"/>
      <c r="B469" s="26"/>
      <c r="C469" s="26"/>
      <c r="D469" s="26"/>
      <c r="E469" s="28"/>
      <c r="F469" s="28"/>
    </row>
    <row r="470" customFormat="false" ht="15" hidden="false" customHeight="false" outlineLevel="0" collapsed="false">
      <c r="A470" s="26"/>
      <c r="B470" s="26"/>
      <c r="C470" s="26"/>
      <c r="D470" s="26"/>
      <c r="E470" s="28"/>
      <c r="F470" s="28"/>
    </row>
    <row r="471" customFormat="false" ht="15" hidden="false" customHeight="false" outlineLevel="0" collapsed="false">
      <c r="A471" s="26"/>
      <c r="B471" s="26"/>
      <c r="C471" s="26"/>
      <c r="D471" s="26"/>
      <c r="E471" s="28"/>
      <c r="F471" s="28"/>
    </row>
    <row r="472" customFormat="false" ht="15" hidden="false" customHeight="false" outlineLevel="0" collapsed="false">
      <c r="A472" s="26"/>
      <c r="B472" s="26"/>
      <c r="C472" s="26"/>
      <c r="D472" s="26"/>
      <c r="E472" s="28"/>
      <c r="F472" s="28"/>
    </row>
    <row r="473" customFormat="false" ht="15" hidden="false" customHeight="false" outlineLevel="0" collapsed="false">
      <c r="A473" s="26"/>
      <c r="B473" s="26"/>
      <c r="C473" s="26"/>
      <c r="D473" s="26"/>
      <c r="E473" s="28"/>
      <c r="F473" s="28"/>
    </row>
    <row r="474" customFormat="false" ht="15" hidden="false" customHeight="false" outlineLevel="0" collapsed="false">
      <c r="A474" s="26"/>
      <c r="B474" s="26"/>
      <c r="C474" s="26"/>
      <c r="D474" s="26"/>
      <c r="E474" s="28"/>
      <c r="F474" s="28"/>
    </row>
    <row r="475" customFormat="false" ht="15" hidden="false" customHeight="false" outlineLevel="0" collapsed="false">
      <c r="A475" s="26"/>
      <c r="B475" s="26"/>
      <c r="C475" s="26"/>
      <c r="D475" s="26"/>
      <c r="E475" s="28"/>
      <c r="F475" s="28"/>
    </row>
    <row r="476" customFormat="false" ht="15" hidden="false" customHeight="false" outlineLevel="0" collapsed="false">
      <c r="A476" s="26"/>
      <c r="B476" s="26"/>
      <c r="C476" s="26"/>
      <c r="D476" s="26"/>
      <c r="E476" s="28"/>
      <c r="F476" s="28"/>
    </row>
    <row r="477" customFormat="false" ht="15" hidden="false" customHeight="false" outlineLevel="0" collapsed="false">
      <c r="A477" s="26"/>
      <c r="B477" s="26"/>
      <c r="C477" s="26"/>
      <c r="D477" s="26"/>
      <c r="E477" s="28"/>
      <c r="F477" s="28"/>
    </row>
    <row r="478" customFormat="false" ht="15" hidden="false" customHeight="false" outlineLevel="0" collapsed="false">
      <c r="A478" s="26"/>
      <c r="B478" s="26"/>
      <c r="C478" s="26"/>
      <c r="D478" s="26"/>
      <c r="E478" s="28"/>
      <c r="F478" s="28"/>
    </row>
    <row r="479" customFormat="false" ht="15" hidden="false" customHeight="false" outlineLevel="0" collapsed="false">
      <c r="A479" s="26"/>
      <c r="B479" s="26"/>
      <c r="C479" s="26"/>
      <c r="D479" s="26"/>
      <c r="E479" s="28"/>
      <c r="F479" s="28"/>
    </row>
    <row r="480" customFormat="false" ht="15" hidden="false" customHeight="false" outlineLevel="0" collapsed="false">
      <c r="A480" s="26"/>
      <c r="B480" s="26"/>
      <c r="C480" s="26"/>
      <c r="D480" s="26"/>
      <c r="E480" s="28"/>
      <c r="F480" s="28"/>
    </row>
    <row r="481" customFormat="false" ht="15" hidden="false" customHeight="false" outlineLevel="0" collapsed="false">
      <c r="A481" s="26"/>
      <c r="B481" s="26"/>
      <c r="C481" s="26"/>
      <c r="D481" s="26"/>
      <c r="E481" s="28"/>
      <c r="F481" s="28"/>
    </row>
    <row r="482" customFormat="false" ht="15" hidden="false" customHeight="false" outlineLevel="0" collapsed="false">
      <c r="A482" s="26"/>
      <c r="B482" s="26"/>
      <c r="C482" s="26"/>
      <c r="D482" s="26"/>
      <c r="E482" s="28"/>
      <c r="F482" s="28"/>
    </row>
    <row r="483" customFormat="false" ht="15" hidden="false" customHeight="false" outlineLevel="0" collapsed="false">
      <c r="A483" s="26"/>
      <c r="B483" s="26"/>
      <c r="C483" s="26"/>
      <c r="D483" s="26"/>
      <c r="E483" s="28"/>
      <c r="F483" s="28"/>
    </row>
    <row r="484" customFormat="false" ht="15" hidden="false" customHeight="false" outlineLevel="0" collapsed="false">
      <c r="A484" s="26"/>
      <c r="B484" s="26"/>
      <c r="C484" s="26"/>
      <c r="D484" s="26"/>
      <c r="E484" s="28"/>
      <c r="F484" s="28"/>
    </row>
    <row r="485" customFormat="false" ht="15" hidden="false" customHeight="false" outlineLevel="0" collapsed="false">
      <c r="A485" s="26"/>
      <c r="B485" s="26"/>
      <c r="C485" s="26"/>
      <c r="D485" s="26"/>
      <c r="E485" s="28"/>
      <c r="F485" s="28"/>
    </row>
    <row r="486" customFormat="false" ht="15" hidden="false" customHeight="false" outlineLevel="0" collapsed="false">
      <c r="A486" s="26"/>
      <c r="B486" s="26"/>
      <c r="C486" s="26"/>
      <c r="D486" s="26"/>
      <c r="E486" s="28"/>
      <c r="F486" s="28"/>
    </row>
    <row r="487" customFormat="false" ht="15" hidden="false" customHeight="false" outlineLevel="0" collapsed="false">
      <c r="A487" s="26"/>
      <c r="B487" s="26"/>
      <c r="C487" s="26"/>
      <c r="D487" s="26"/>
      <c r="E487" s="28"/>
      <c r="F487" s="28"/>
    </row>
    <row r="488" customFormat="false" ht="15" hidden="false" customHeight="false" outlineLevel="0" collapsed="false">
      <c r="A488" s="26"/>
      <c r="B488" s="26"/>
      <c r="C488" s="26"/>
      <c r="D488" s="26"/>
      <c r="E488" s="28"/>
      <c r="F488" s="28"/>
    </row>
    <row r="489" customFormat="false" ht="15" hidden="false" customHeight="false" outlineLevel="0" collapsed="false">
      <c r="A489" s="26"/>
      <c r="B489" s="26"/>
      <c r="C489" s="26"/>
      <c r="D489" s="26"/>
      <c r="E489" s="28"/>
      <c r="F489" s="28"/>
    </row>
    <row r="490" customFormat="false" ht="15" hidden="false" customHeight="false" outlineLevel="0" collapsed="false">
      <c r="A490" s="26"/>
      <c r="B490" s="26"/>
      <c r="C490" s="26"/>
      <c r="D490" s="26"/>
      <c r="E490" s="28"/>
      <c r="F490" s="28"/>
    </row>
    <row r="491" customFormat="false" ht="15" hidden="false" customHeight="false" outlineLevel="0" collapsed="false">
      <c r="A491" s="26"/>
      <c r="B491" s="26"/>
      <c r="C491" s="26"/>
      <c r="D491" s="26"/>
      <c r="E491" s="28"/>
      <c r="F491" s="28"/>
    </row>
    <row r="492" customFormat="false" ht="15" hidden="false" customHeight="false" outlineLevel="0" collapsed="false">
      <c r="A492" s="26"/>
      <c r="B492" s="26"/>
      <c r="C492" s="26"/>
      <c r="D492" s="26"/>
      <c r="E492" s="28"/>
      <c r="F492" s="28"/>
    </row>
    <row r="493" customFormat="false" ht="15" hidden="false" customHeight="false" outlineLevel="0" collapsed="false">
      <c r="A493" s="26"/>
      <c r="B493" s="26"/>
      <c r="C493" s="26"/>
      <c r="D493" s="26"/>
      <c r="E493" s="28"/>
      <c r="F493" s="28"/>
    </row>
    <row r="494" customFormat="false" ht="15" hidden="false" customHeight="false" outlineLevel="0" collapsed="false">
      <c r="A494" s="26"/>
      <c r="B494" s="26"/>
      <c r="C494" s="26"/>
      <c r="D494" s="26"/>
      <c r="E494" s="28"/>
      <c r="F494" s="28"/>
    </row>
    <row r="495" customFormat="false" ht="15" hidden="false" customHeight="false" outlineLevel="0" collapsed="false">
      <c r="A495" s="26"/>
      <c r="B495" s="26"/>
      <c r="C495" s="26"/>
      <c r="D495" s="26"/>
      <c r="E495" s="28"/>
      <c r="F495" s="28"/>
    </row>
    <row r="496" customFormat="false" ht="15" hidden="false" customHeight="false" outlineLevel="0" collapsed="false">
      <c r="A496" s="26"/>
      <c r="B496" s="26"/>
      <c r="C496" s="26"/>
      <c r="D496" s="26"/>
      <c r="E496" s="28"/>
      <c r="F496" s="28"/>
    </row>
    <row r="497" customFormat="false" ht="15" hidden="false" customHeight="false" outlineLevel="0" collapsed="false">
      <c r="A497" s="26"/>
      <c r="B497" s="26"/>
      <c r="C497" s="26"/>
      <c r="D497" s="26"/>
      <c r="E497" s="28"/>
      <c r="F497" s="28"/>
    </row>
    <row r="498" customFormat="false" ht="15" hidden="false" customHeight="false" outlineLevel="0" collapsed="false">
      <c r="A498" s="26"/>
      <c r="B498" s="26"/>
      <c r="C498" s="26"/>
      <c r="D498" s="26"/>
      <c r="E498" s="28"/>
      <c r="F498" s="28"/>
    </row>
    <row r="499" customFormat="false" ht="15" hidden="false" customHeight="false" outlineLevel="0" collapsed="false">
      <c r="A499" s="26"/>
      <c r="B499" s="26"/>
      <c r="C499" s="26"/>
      <c r="D499" s="26"/>
      <c r="E499" s="28"/>
      <c r="F499" s="28"/>
    </row>
    <row r="500" customFormat="false" ht="15" hidden="false" customHeight="false" outlineLevel="0" collapsed="false">
      <c r="A500" s="26"/>
      <c r="B500" s="26"/>
      <c r="C500" s="26"/>
      <c r="D500" s="26"/>
      <c r="E500" s="28"/>
      <c r="F500" s="28"/>
    </row>
    <row r="501" customFormat="false" ht="15" hidden="false" customHeight="false" outlineLevel="0" collapsed="false">
      <c r="A501" s="26"/>
      <c r="B501" s="26"/>
      <c r="C501" s="26"/>
      <c r="D501" s="26"/>
      <c r="E501" s="28"/>
      <c r="F501" s="28"/>
    </row>
    <row r="502" customFormat="false" ht="15" hidden="false" customHeight="false" outlineLevel="0" collapsed="false">
      <c r="A502" s="26"/>
      <c r="B502" s="26"/>
      <c r="C502" s="26"/>
      <c r="D502" s="26"/>
      <c r="E502" s="28"/>
      <c r="F502" s="28"/>
    </row>
    <row r="503" customFormat="false" ht="15" hidden="false" customHeight="false" outlineLevel="0" collapsed="false">
      <c r="A503" s="26"/>
      <c r="B503" s="26"/>
      <c r="C503" s="26"/>
      <c r="D503" s="26"/>
      <c r="E503" s="28"/>
      <c r="F503" s="28"/>
    </row>
    <row r="504" customFormat="false" ht="15" hidden="false" customHeight="false" outlineLevel="0" collapsed="false">
      <c r="A504" s="26"/>
      <c r="B504" s="26"/>
      <c r="C504" s="26"/>
      <c r="D504" s="26"/>
      <c r="E504" s="28"/>
      <c r="F504" s="28"/>
    </row>
    <row r="505" customFormat="false" ht="15" hidden="false" customHeight="false" outlineLevel="0" collapsed="false">
      <c r="A505" s="26"/>
      <c r="B505" s="26"/>
      <c r="C505" s="26"/>
      <c r="D505" s="26"/>
      <c r="E505" s="28"/>
      <c r="F505" s="28"/>
    </row>
    <row r="506" customFormat="false" ht="15" hidden="false" customHeight="false" outlineLevel="0" collapsed="false">
      <c r="A506" s="26"/>
      <c r="B506" s="26"/>
      <c r="C506" s="26"/>
      <c r="D506" s="26"/>
      <c r="E506" s="28"/>
      <c r="F506" s="28"/>
    </row>
    <row r="507" customFormat="false" ht="15" hidden="false" customHeight="false" outlineLevel="0" collapsed="false">
      <c r="A507" s="26"/>
      <c r="B507" s="26"/>
      <c r="C507" s="26"/>
      <c r="D507" s="26"/>
      <c r="E507" s="28"/>
      <c r="F507" s="28"/>
    </row>
    <row r="508" customFormat="false" ht="15" hidden="false" customHeight="false" outlineLevel="0" collapsed="false">
      <c r="A508" s="26"/>
      <c r="B508" s="26"/>
      <c r="C508" s="26"/>
      <c r="D508" s="26"/>
      <c r="E508" s="28"/>
      <c r="F508" s="28"/>
    </row>
    <row r="509" customFormat="false" ht="15" hidden="false" customHeight="false" outlineLevel="0" collapsed="false">
      <c r="A509" s="26"/>
      <c r="B509" s="26"/>
      <c r="C509" s="26"/>
      <c r="D509" s="26"/>
      <c r="E509" s="28"/>
      <c r="F509" s="28"/>
    </row>
    <row r="510" customFormat="false" ht="15" hidden="false" customHeight="false" outlineLevel="0" collapsed="false">
      <c r="A510" s="26"/>
      <c r="B510" s="26"/>
      <c r="C510" s="26"/>
      <c r="D510" s="26"/>
      <c r="E510" s="28"/>
      <c r="F510" s="28"/>
    </row>
    <row r="511" customFormat="false" ht="15" hidden="false" customHeight="false" outlineLevel="0" collapsed="false">
      <c r="A511" s="26"/>
      <c r="B511" s="26"/>
      <c r="C511" s="26"/>
      <c r="D511" s="26"/>
      <c r="E511" s="28"/>
      <c r="F511" s="28"/>
    </row>
    <row r="512" customFormat="false" ht="15" hidden="false" customHeight="false" outlineLevel="0" collapsed="false">
      <c r="A512" s="26"/>
      <c r="B512" s="26"/>
      <c r="C512" s="26"/>
      <c r="D512" s="26"/>
      <c r="E512" s="28"/>
      <c r="F512" s="28"/>
    </row>
    <row r="513" customFormat="false" ht="15" hidden="false" customHeight="false" outlineLevel="0" collapsed="false">
      <c r="A513" s="26"/>
      <c r="B513" s="26"/>
      <c r="C513" s="26"/>
      <c r="D513" s="26"/>
      <c r="E513" s="28"/>
      <c r="F513" s="28"/>
    </row>
    <row r="514" customFormat="false" ht="15" hidden="false" customHeight="false" outlineLevel="0" collapsed="false">
      <c r="A514" s="26"/>
      <c r="B514" s="26"/>
      <c r="C514" s="26"/>
      <c r="D514" s="26"/>
      <c r="E514" s="28"/>
      <c r="F514" s="28"/>
    </row>
    <row r="515" customFormat="false" ht="15" hidden="false" customHeight="false" outlineLevel="0" collapsed="false">
      <c r="A515" s="26"/>
      <c r="B515" s="26"/>
      <c r="C515" s="26"/>
      <c r="D515" s="26"/>
      <c r="E515" s="28"/>
      <c r="F515" s="28"/>
    </row>
    <row r="516" customFormat="false" ht="15" hidden="false" customHeight="false" outlineLevel="0" collapsed="false">
      <c r="A516" s="26"/>
      <c r="B516" s="26"/>
      <c r="C516" s="26"/>
      <c r="D516" s="26"/>
      <c r="E516" s="28"/>
      <c r="F516" s="28"/>
    </row>
    <row r="517" customFormat="false" ht="15" hidden="false" customHeight="false" outlineLevel="0" collapsed="false">
      <c r="A517" s="26"/>
      <c r="B517" s="26"/>
      <c r="C517" s="26"/>
      <c r="D517" s="26"/>
      <c r="E517" s="28"/>
      <c r="F517" s="28"/>
    </row>
    <row r="518" customFormat="false" ht="15" hidden="false" customHeight="false" outlineLevel="0" collapsed="false">
      <c r="A518" s="26"/>
      <c r="B518" s="26"/>
      <c r="C518" s="26"/>
      <c r="D518" s="26"/>
      <c r="E518" s="28"/>
      <c r="F518" s="28"/>
    </row>
    <row r="519" customFormat="false" ht="15" hidden="false" customHeight="false" outlineLevel="0" collapsed="false">
      <c r="A519" s="26"/>
      <c r="B519" s="26"/>
      <c r="C519" s="26"/>
      <c r="D519" s="26"/>
      <c r="E519" s="28"/>
      <c r="F519" s="28"/>
    </row>
    <row r="520" customFormat="false" ht="15" hidden="false" customHeight="false" outlineLevel="0" collapsed="false">
      <c r="A520" s="26"/>
      <c r="B520" s="26"/>
      <c r="C520" s="26"/>
      <c r="D520" s="26"/>
      <c r="E520" s="28"/>
      <c r="F520" s="28"/>
    </row>
    <row r="521" customFormat="false" ht="15" hidden="false" customHeight="false" outlineLevel="0" collapsed="false">
      <c r="A521" s="26"/>
      <c r="B521" s="26"/>
      <c r="C521" s="26"/>
      <c r="D521" s="26"/>
      <c r="E521" s="28"/>
      <c r="F521" s="28"/>
    </row>
    <row r="522" customFormat="false" ht="15" hidden="false" customHeight="false" outlineLevel="0" collapsed="false">
      <c r="A522" s="26"/>
      <c r="B522" s="26"/>
      <c r="C522" s="26"/>
      <c r="D522" s="26"/>
      <c r="E522" s="28"/>
      <c r="F522" s="28"/>
    </row>
    <row r="523" customFormat="false" ht="15" hidden="false" customHeight="false" outlineLevel="0" collapsed="false">
      <c r="A523" s="26"/>
      <c r="B523" s="26"/>
      <c r="C523" s="26"/>
      <c r="D523" s="26"/>
      <c r="E523" s="28"/>
      <c r="F523" s="28"/>
    </row>
    <row r="524" customFormat="false" ht="15" hidden="false" customHeight="false" outlineLevel="0" collapsed="false">
      <c r="A524" s="26"/>
      <c r="B524" s="26"/>
      <c r="C524" s="26"/>
      <c r="D524" s="26"/>
      <c r="E524" s="28"/>
      <c r="F524" s="28"/>
    </row>
    <row r="525" customFormat="false" ht="15" hidden="false" customHeight="false" outlineLevel="0" collapsed="false">
      <c r="A525" s="26"/>
      <c r="B525" s="26"/>
      <c r="C525" s="26"/>
      <c r="D525" s="26"/>
      <c r="E525" s="28"/>
      <c r="F525" s="28"/>
    </row>
    <row r="526" customFormat="false" ht="15" hidden="false" customHeight="false" outlineLevel="0" collapsed="false">
      <c r="A526" s="26"/>
      <c r="B526" s="26"/>
      <c r="C526" s="26"/>
      <c r="D526" s="26"/>
      <c r="E526" s="28"/>
      <c r="F526" s="28"/>
    </row>
    <row r="527" customFormat="false" ht="15" hidden="false" customHeight="false" outlineLevel="0" collapsed="false">
      <c r="A527" s="26"/>
      <c r="B527" s="26"/>
      <c r="C527" s="26"/>
      <c r="D527" s="26"/>
      <c r="E527" s="28"/>
      <c r="F527" s="28"/>
    </row>
    <row r="528" customFormat="false" ht="15" hidden="false" customHeight="false" outlineLevel="0" collapsed="false">
      <c r="A528" s="26"/>
      <c r="B528" s="26"/>
      <c r="C528" s="26"/>
      <c r="D528" s="26"/>
      <c r="E528" s="28"/>
      <c r="F528" s="28"/>
    </row>
    <row r="529" customFormat="false" ht="15" hidden="false" customHeight="false" outlineLevel="0" collapsed="false">
      <c r="A529" s="26"/>
      <c r="B529" s="26"/>
      <c r="C529" s="26"/>
      <c r="D529" s="26"/>
      <c r="E529" s="28"/>
      <c r="F529" s="28"/>
    </row>
    <row r="530" customFormat="false" ht="15" hidden="false" customHeight="false" outlineLevel="0" collapsed="false">
      <c r="A530" s="26"/>
      <c r="B530" s="26"/>
      <c r="C530" s="26"/>
      <c r="D530" s="26"/>
      <c r="E530" s="28"/>
      <c r="F530" s="28"/>
    </row>
    <row r="531" customFormat="false" ht="15" hidden="false" customHeight="false" outlineLevel="0" collapsed="false">
      <c r="A531" s="26"/>
      <c r="B531" s="26"/>
      <c r="C531" s="26"/>
      <c r="D531" s="26"/>
      <c r="E531" s="28"/>
      <c r="F531" s="28"/>
    </row>
    <row r="532" customFormat="false" ht="15" hidden="false" customHeight="false" outlineLevel="0" collapsed="false">
      <c r="A532" s="26"/>
      <c r="B532" s="26"/>
      <c r="C532" s="26"/>
      <c r="D532" s="26"/>
      <c r="E532" s="28"/>
      <c r="F532" s="28"/>
    </row>
    <row r="533" customFormat="false" ht="15" hidden="false" customHeight="false" outlineLevel="0" collapsed="false">
      <c r="A533" s="26"/>
      <c r="B533" s="26"/>
      <c r="C533" s="26"/>
      <c r="D533" s="26"/>
      <c r="E533" s="28"/>
      <c r="F533" s="28"/>
    </row>
    <row r="534" customFormat="false" ht="15" hidden="false" customHeight="false" outlineLevel="0" collapsed="false">
      <c r="A534" s="26"/>
      <c r="B534" s="26"/>
      <c r="C534" s="26"/>
      <c r="D534" s="26"/>
      <c r="E534" s="28"/>
      <c r="F534" s="28"/>
    </row>
    <row r="535" customFormat="false" ht="15" hidden="false" customHeight="false" outlineLevel="0" collapsed="false">
      <c r="A535" s="26"/>
      <c r="B535" s="26"/>
      <c r="C535" s="26"/>
      <c r="D535" s="26"/>
      <c r="E535" s="28"/>
      <c r="F535" s="28"/>
    </row>
    <row r="536" customFormat="false" ht="15" hidden="false" customHeight="false" outlineLevel="0" collapsed="false">
      <c r="A536" s="26"/>
      <c r="B536" s="26"/>
      <c r="C536" s="26"/>
      <c r="D536" s="26"/>
      <c r="E536" s="28"/>
      <c r="F536" s="28"/>
    </row>
    <row r="537" customFormat="false" ht="15" hidden="false" customHeight="false" outlineLevel="0" collapsed="false">
      <c r="A537" s="26"/>
      <c r="B537" s="26"/>
      <c r="C537" s="26"/>
      <c r="D537" s="26"/>
      <c r="E537" s="28"/>
      <c r="F537" s="28"/>
    </row>
    <row r="538" customFormat="false" ht="15" hidden="false" customHeight="false" outlineLevel="0" collapsed="false">
      <c r="A538" s="26"/>
      <c r="B538" s="26"/>
      <c r="C538" s="26"/>
      <c r="D538" s="26"/>
      <c r="E538" s="28"/>
      <c r="F538" s="28"/>
    </row>
    <row r="539" customFormat="false" ht="15" hidden="false" customHeight="false" outlineLevel="0" collapsed="false">
      <c r="A539" s="26"/>
      <c r="B539" s="26"/>
      <c r="C539" s="26"/>
      <c r="D539" s="26"/>
      <c r="E539" s="28"/>
      <c r="F539" s="28"/>
    </row>
    <row r="540" customFormat="false" ht="15" hidden="false" customHeight="false" outlineLevel="0" collapsed="false">
      <c r="A540" s="26"/>
      <c r="B540" s="26"/>
      <c r="C540" s="26"/>
      <c r="D540" s="26"/>
      <c r="E540" s="28"/>
      <c r="F540" s="28"/>
    </row>
    <row r="541" customFormat="false" ht="15" hidden="false" customHeight="false" outlineLevel="0" collapsed="false">
      <c r="A541" s="26"/>
      <c r="B541" s="26"/>
      <c r="C541" s="26"/>
      <c r="D541" s="26"/>
      <c r="E541" s="28"/>
      <c r="F541" s="28"/>
    </row>
    <row r="542" customFormat="false" ht="15" hidden="false" customHeight="false" outlineLevel="0" collapsed="false">
      <c r="A542" s="26"/>
      <c r="B542" s="26"/>
      <c r="C542" s="26"/>
      <c r="D542" s="26"/>
      <c r="E542" s="28"/>
      <c r="F542" s="28"/>
    </row>
    <row r="543" customFormat="false" ht="15" hidden="false" customHeight="false" outlineLevel="0" collapsed="false">
      <c r="A543" s="26"/>
      <c r="B543" s="26"/>
      <c r="C543" s="26"/>
      <c r="D543" s="26"/>
      <c r="E543" s="28"/>
      <c r="F543" s="28"/>
    </row>
    <row r="544" customFormat="false" ht="15" hidden="false" customHeight="false" outlineLevel="0" collapsed="false">
      <c r="A544" s="26"/>
      <c r="B544" s="26"/>
      <c r="C544" s="26"/>
      <c r="D544" s="26"/>
      <c r="E544" s="28"/>
      <c r="F544" s="28"/>
    </row>
    <row r="545" customFormat="false" ht="15" hidden="false" customHeight="false" outlineLevel="0" collapsed="false">
      <c r="A545" s="26"/>
      <c r="B545" s="26"/>
      <c r="C545" s="26"/>
      <c r="D545" s="26"/>
      <c r="E545" s="28"/>
      <c r="F545" s="28"/>
    </row>
    <row r="546" customFormat="false" ht="15" hidden="false" customHeight="false" outlineLevel="0" collapsed="false">
      <c r="A546" s="26"/>
      <c r="B546" s="26"/>
      <c r="C546" s="26"/>
      <c r="D546" s="26"/>
      <c r="E546" s="28"/>
      <c r="F546" s="28"/>
    </row>
    <row r="547" customFormat="false" ht="15" hidden="false" customHeight="false" outlineLevel="0" collapsed="false">
      <c r="A547" s="26"/>
      <c r="B547" s="26"/>
      <c r="C547" s="26"/>
      <c r="D547" s="26"/>
      <c r="E547" s="28"/>
      <c r="F547" s="28"/>
    </row>
    <row r="548" customFormat="false" ht="15" hidden="false" customHeight="false" outlineLevel="0" collapsed="false">
      <c r="A548" s="26"/>
      <c r="B548" s="26"/>
      <c r="C548" s="26"/>
      <c r="D548" s="26"/>
      <c r="E548" s="28"/>
      <c r="F548" s="28"/>
    </row>
    <row r="549" customFormat="false" ht="15" hidden="false" customHeight="false" outlineLevel="0" collapsed="false">
      <c r="A549" s="26"/>
      <c r="B549" s="26"/>
      <c r="C549" s="26"/>
      <c r="D549" s="26"/>
      <c r="E549" s="28"/>
      <c r="F549" s="28"/>
    </row>
    <row r="550" customFormat="false" ht="15" hidden="false" customHeight="false" outlineLevel="0" collapsed="false">
      <c r="A550" s="26"/>
      <c r="B550" s="26"/>
      <c r="C550" s="26"/>
      <c r="D550" s="26"/>
      <c r="E550" s="28"/>
      <c r="F550" s="28"/>
    </row>
    <row r="551" customFormat="false" ht="15" hidden="false" customHeight="false" outlineLevel="0" collapsed="false">
      <c r="A551" s="26"/>
      <c r="B551" s="26"/>
      <c r="C551" s="26"/>
      <c r="D551" s="26"/>
      <c r="E551" s="28"/>
      <c r="F551" s="28"/>
    </row>
    <row r="552" customFormat="false" ht="15" hidden="false" customHeight="false" outlineLevel="0" collapsed="false">
      <c r="A552" s="26"/>
      <c r="B552" s="26"/>
      <c r="C552" s="26"/>
      <c r="D552" s="26"/>
      <c r="E552" s="28"/>
      <c r="F552" s="28"/>
    </row>
    <row r="553" customFormat="false" ht="15" hidden="false" customHeight="false" outlineLevel="0" collapsed="false">
      <c r="A553" s="26"/>
      <c r="B553" s="26"/>
      <c r="C553" s="26"/>
      <c r="D553" s="26"/>
      <c r="E553" s="28"/>
      <c r="F553" s="28"/>
    </row>
    <row r="554" customFormat="false" ht="15" hidden="false" customHeight="false" outlineLevel="0" collapsed="false">
      <c r="A554" s="26"/>
      <c r="B554" s="26"/>
      <c r="C554" s="26"/>
      <c r="D554" s="26"/>
      <c r="E554" s="28"/>
      <c r="F554" s="28"/>
    </row>
    <row r="555" customFormat="false" ht="15" hidden="false" customHeight="false" outlineLevel="0" collapsed="false">
      <c r="A555" s="26"/>
      <c r="B555" s="26"/>
      <c r="C555" s="26"/>
      <c r="D555" s="26"/>
      <c r="E555" s="28"/>
      <c r="F555" s="28"/>
    </row>
    <row r="556" customFormat="false" ht="15" hidden="false" customHeight="false" outlineLevel="0" collapsed="false">
      <c r="A556" s="26"/>
      <c r="B556" s="26"/>
      <c r="C556" s="26"/>
      <c r="D556" s="26"/>
      <c r="E556" s="28"/>
      <c r="F556" s="28"/>
    </row>
    <row r="557" customFormat="false" ht="15" hidden="false" customHeight="false" outlineLevel="0" collapsed="false">
      <c r="A557" s="26"/>
      <c r="B557" s="26"/>
      <c r="C557" s="26"/>
      <c r="D557" s="26"/>
      <c r="E557" s="28"/>
      <c r="F557" s="28"/>
    </row>
    <row r="558" customFormat="false" ht="15" hidden="false" customHeight="false" outlineLevel="0" collapsed="false">
      <c r="A558" s="26"/>
      <c r="B558" s="26"/>
      <c r="C558" s="26"/>
      <c r="D558" s="26"/>
      <c r="E558" s="28"/>
      <c r="F558" s="28"/>
    </row>
    <row r="559" customFormat="false" ht="15" hidden="false" customHeight="false" outlineLevel="0" collapsed="false">
      <c r="A559" s="26"/>
      <c r="B559" s="26"/>
      <c r="C559" s="26"/>
      <c r="D559" s="26"/>
      <c r="E559" s="28"/>
      <c r="F559" s="28"/>
    </row>
    <row r="560" customFormat="false" ht="15" hidden="false" customHeight="false" outlineLevel="0" collapsed="false">
      <c r="A560" s="26"/>
      <c r="B560" s="26"/>
      <c r="C560" s="26"/>
      <c r="D560" s="26"/>
      <c r="E560" s="28"/>
      <c r="F560" s="28"/>
    </row>
    <row r="561" customFormat="false" ht="15" hidden="false" customHeight="false" outlineLevel="0" collapsed="false">
      <c r="A561" s="26"/>
      <c r="B561" s="26"/>
      <c r="C561" s="26"/>
      <c r="D561" s="26"/>
      <c r="E561" s="28"/>
      <c r="F561" s="28"/>
    </row>
    <row r="562" customFormat="false" ht="15" hidden="false" customHeight="false" outlineLevel="0" collapsed="false">
      <c r="A562" s="26"/>
      <c r="B562" s="26"/>
      <c r="C562" s="26"/>
      <c r="D562" s="26"/>
      <c r="E562" s="28"/>
      <c r="F562" s="28"/>
    </row>
    <row r="563" customFormat="false" ht="15" hidden="false" customHeight="false" outlineLevel="0" collapsed="false">
      <c r="A563" s="26"/>
      <c r="B563" s="26"/>
      <c r="C563" s="26"/>
      <c r="D563" s="26"/>
      <c r="E563" s="28"/>
      <c r="F563" s="28"/>
    </row>
    <row r="564" customFormat="false" ht="15" hidden="false" customHeight="false" outlineLevel="0" collapsed="false">
      <c r="A564" s="26"/>
      <c r="B564" s="26"/>
      <c r="C564" s="26"/>
      <c r="D564" s="26"/>
      <c r="E564" s="28"/>
      <c r="F564" s="28"/>
    </row>
    <row r="565" customFormat="false" ht="15" hidden="false" customHeight="false" outlineLevel="0" collapsed="false">
      <c r="A565" s="26"/>
      <c r="B565" s="26"/>
      <c r="C565" s="26"/>
      <c r="D565" s="26"/>
      <c r="E565" s="28"/>
      <c r="F565" s="28"/>
    </row>
    <row r="566" customFormat="false" ht="15" hidden="false" customHeight="false" outlineLevel="0" collapsed="false">
      <c r="A566" s="26"/>
      <c r="B566" s="26"/>
      <c r="C566" s="26"/>
      <c r="D566" s="26"/>
      <c r="E566" s="28"/>
      <c r="F566" s="28"/>
    </row>
    <row r="567" customFormat="false" ht="15" hidden="false" customHeight="false" outlineLevel="0" collapsed="false">
      <c r="A567" s="26"/>
      <c r="B567" s="26"/>
      <c r="C567" s="26"/>
      <c r="D567" s="26"/>
      <c r="E567" s="28"/>
      <c r="F567" s="28"/>
    </row>
    <row r="568" customFormat="false" ht="15" hidden="false" customHeight="false" outlineLevel="0" collapsed="false">
      <c r="A568" s="26"/>
      <c r="B568" s="26"/>
      <c r="C568" s="26"/>
      <c r="D568" s="26"/>
      <c r="E568" s="28"/>
      <c r="F568" s="28"/>
    </row>
    <row r="569" customFormat="false" ht="15" hidden="false" customHeight="false" outlineLevel="0" collapsed="false">
      <c r="A569" s="26"/>
      <c r="B569" s="26"/>
      <c r="C569" s="26"/>
      <c r="D569" s="26"/>
      <c r="E569" s="28"/>
      <c r="F569" s="28"/>
    </row>
    <row r="570" customFormat="false" ht="15" hidden="false" customHeight="false" outlineLevel="0" collapsed="false">
      <c r="A570" s="26"/>
      <c r="B570" s="26"/>
      <c r="C570" s="26"/>
      <c r="D570" s="26"/>
      <c r="E570" s="28"/>
      <c r="F570" s="28"/>
    </row>
    <row r="571" customFormat="false" ht="15" hidden="false" customHeight="false" outlineLevel="0" collapsed="false">
      <c r="A571" s="26"/>
      <c r="B571" s="26"/>
      <c r="C571" s="26"/>
      <c r="D571" s="26"/>
      <c r="E571" s="28"/>
      <c r="F571" s="28"/>
    </row>
    <row r="572" customFormat="false" ht="15" hidden="false" customHeight="false" outlineLevel="0" collapsed="false">
      <c r="A572" s="26"/>
      <c r="B572" s="26"/>
      <c r="C572" s="26"/>
      <c r="D572" s="26"/>
      <c r="E572" s="28"/>
      <c r="F572" s="28"/>
    </row>
    <row r="573" customFormat="false" ht="15" hidden="false" customHeight="false" outlineLevel="0" collapsed="false">
      <c r="A573" s="26"/>
      <c r="B573" s="26"/>
      <c r="C573" s="26"/>
      <c r="D573" s="26"/>
      <c r="E573" s="28"/>
      <c r="F573" s="28"/>
    </row>
    <row r="574" customFormat="false" ht="15" hidden="false" customHeight="false" outlineLevel="0" collapsed="false">
      <c r="A574" s="26"/>
      <c r="B574" s="26"/>
      <c r="C574" s="26"/>
      <c r="D574" s="26"/>
      <c r="E574" s="28"/>
      <c r="F574" s="28"/>
    </row>
    <row r="575" customFormat="false" ht="15" hidden="false" customHeight="false" outlineLevel="0" collapsed="false">
      <c r="A575" s="26"/>
      <c r="B575" s="26"/>
      <c r="C575" s="26"/>
      <c r="D575" s="26"/>
      <c r="E575" s="28"/>
      <c r="F575" s="28"/>
    </row>
    <row r="576" customFormat="false" ht="15" hidden="false" customHeight="false" outlineLevel="0" collapsed="false">
      <c r="A576" s="26"/>
      <c r="B576" s="26"/>
      <c r="C576" s="26"/>
      <c r="D576" s="26"/>
      <c r="E576" s="28"/>
      <c r="F576" s="28"/>
    </row>
    <row r="577" customFormat="false" ht="15" hidden="false" customHeight="false" outlineLevel="0" collapsed="false">
      <c r="A577" s="26"/>
      <c r="B577" s="26"/>
      <c r="C577" s="26"/>
      <c r="D577" s="26"/>
      <c r="E577" s="28"/>
      <c r="F577" s="28"/>
    </row>
    <row r="578" customFormat="false" ht="15" hidden="false" customHeight="false" outlineLevel="0" collapsed="false">
      <c r="A578" s="26"/>
      <c r="B578" s="26"/>
      <c r="C578" s="26"/>
      <c r="D578" s="26"/>
      <c r="E578" s="28"/>
      <c r="F578" s="28"/>
    </row>
    <row r="579" customFormat="false" ht="15" hidden="false" customHeight="false" outlineLevel="0" collapsed="false">
      <c r="A579" s="26"/>
      <c r="B579" s="26"/>
      <c r="C579" s="26"/>
      <c r="D579" s="26"/>
      <c r="E579" s="28"/>
      <c r="F579" s="28"/>
    </row>
    <row r="580" customFormat="false" ht="15" hidden="false" customHeight="false" outlineLevel="0" collapsed="false">
      <c r="A580" s="26"/>
      <c r="B580" s="26"/>
      <c r="C580" s="26"/>
      <c r="D580" s="26"/>
      <c r="E580" s="28"/>
      <c r="F580" s="28"/>
    </row>
    <row r="581" customFormat="false" ht="15" hidden="false" customHeight="false" outlineLevel="0" collapsed="false">
      <c r="A581" s="26"/>
      <c r="B581" s="26"/>
      <c r="C581" s="26"/>
      <c r="D581" s="26"/>
      <c r="E581" s="28"/>
      <c r="F581" s="28"/>
    </row>
    <row r="582" customFormat="false" ht="15" hidden="false" customHeight="false" outlineLevel="0" collapsed="false">
      <c r="A582" s="26"/>
      <c r="B582" s="26"/>
      <c r="C582" s="26"/>
      <c r="D582" s="26"/>
      <c r="E582" s="28"/>
      <c r="F582" s="28"/>
    </row>
    <row r="583" customFormat="false" ht="15" hidden="false" customHeight="false" outlineLevel="0" collapsed="false">
      <c r="A583" s="26"/>
      <c r="B583" s="26"/>
      <c r="C583" s="26"/>
      <c r="D583" s="26"/>
      <c r="E583" s="28"/>
      <c r="F583" s="28"/>
    </row>
    <row r="584" customFormat="false" ht="15" hidden="false" customHeight="false" outlineLevel="0" collapsed="false">
      <c r="A584" s="26"/>
      <c r="B584" s="26"/>
      <c r="C584" s="26"/>
      <c r="D584" s="26"/>
      <c r="E584" s="28"/>
      <c r="F584" s="28"/>
    </row>
    <row r="585" customFormat="false" ht="15" hidden="false" customHeight="false" outlineLevel="0" collapsed="false">
      <c r="A585" s="26"/>
      <c r="B585" s="26"/>
      <c r="C585" s="26"/>
      <c r="D585" s="26"/>
      <c r="E585" s="28"/>
      <c r="F585" s="28"/>
    </row>
    <row r="586" customFormat="false" ht="15" hidden="false" customHeight="false" outlineLevel="0" collapsed="false">
      <c r="A586" s="26"/>
      <c r="B586" s="26"/>
      <c r="C586" s="26"/>
      <c r="D586" s="26"/>
      <c r="E586" s="28"/>
      <c r="F586" s="28"/>
    </row>
    <row r="587" customFormat="false" ht="15" hidden="false" customHeight="false" outlineLevel="0" collapsed="false">
      <c r="A587" s="26"/>
      <c r="B587" s="26"/>
      <c r="C587" s="26"/>
      <c r="D587" s="26"/>
      <c r="E587" s="28"/>
      <c r="F587" s="28"/>
    </row>
    <row r="588" customFormat="false" ht="15" hidden="false" customHeight="false" outlineLevel="0" collapsed="false">
      <c r="A588" s="26"/>
      <c r="B588" s="26"/>
      <c r="C588" s="26"/>
      <c r="D588" s="26"/>
      <c r="E588" s="28"/>
      <c r="F588" s="28"/>
    </row>
    <row r="589" customFormat="false" ht="15" hidden="false" customHeight="false" outlineLevel="0" collapsed="false">
      <c r="A589" s="26"/>
      <c r="B589" s="26"/>
      <c r="C589" s="26"/>
      <c r="D589" s="26"/>
      <c r="E589" s="28"/>
      <c r="F589" s="28"/>
    </row>
    <row r="590" customFormat="false" ht="15" hidden="false" customHeight="false" outlineLevel="0" collapsed="false">
      <c r="A590" s="26"/>
      <c r="B590" s="26"/>
      <c r="C590" s="26"/>
      <c r="D590" s="26"/>
      <c r="E590" s="28"/>
      <c r="F590" s="28"/>
    </row>
    <row r="591" customFormat="false" ht="15" hidden="false" customHeight="false" outlineLevel="0" collapsed="false">
      <c r="A591" s="26"/>
      <c r="B591" s="26"/>
      <c r="C591" s="26"/>
      <c r="D591" s="26"/>
      <c r="E591" s="28"/>
      <c r="F591" s="28"/>
    </row>
    <row r="592" customFormat="false" ht="15" hidden="false" customHeight="false" outlineLevel="0" collapsed="false">
      <c r="A592" s="26"/>
      <c r="B592" s="26"/>
      <c r="C592" s="26"/>
      <c r="D592" s="26"/>
      <c r="E592" s="28"/>
      <c r="F592" s="28"/>
    </row>
    <row r="593" customFormat="false" ht="15" hidden="false" customHeight="false" outlineLevel="0" collapsed="false">
      <c r="A593" s="26"/>
      <c r="B593" s="26"/>
      <c r="C593" s="26"/>
      <c r="D593" s="26"/>
      <c r="E593" s="28"/>
      <c r="F593" s="28"/>
    </row>
    <row r="594" customFormat="false" ht="15" hidden="false" customHeight="false" outlineLevel="0" collapsed="false">
      <c r="A594" s="26"/>
      <c r="B594" s="26"/>
      <c r="C594" s="26"/>
      <c r="D594" s="26"/>
      <c r="E594" s="28"/>
      <c r="F594" s="28"/>
    </row>
    <row r="595" customFormat="false" ht="15" hidden="false" customHeight="false" outlineLevel="0" collapsed="false">
      <c r="A595" s="26"/>
      <c r="B595" s="26"/>
      <c r="C595" s="26"/>
      <c r="D595" s="26"/>
      <c r="E595" s="28"/>
      <c r="F595" s="28"/>
    </row>
    <row r="596" customFormat="false" ht="15" hidden="false" customHeight="false" outlineLevel="0" collapsed="false">
      <c r="A596" s="26"/>
      <c r="B596" s="26"/>
      <c r="C596" s="26"/>
      <c r="D596" s="26"/>
      <c r="E596" s="28"/>
      <c r="F596" s="28"/>
    </row>
    <row r="597" customFormat="false" ht="15" hidden="false" customHeight="false" outlineLevel="0" collapsed="false">
      <c r="A597" s="26"/>
      <c r="B597" s="26"/>
      <c r="C597" s="26"/>
      <c r="D597" s="26"/>
      <c r="E597" s="28"/>
      <c r="F597" s="28"/>
    </row>
    <row r="598" customFormat="false" ht="15" hidden="false" customHeight="false" outlineLevel="0" collapsed="false">
      <c r="A598" s="26"/>
      <c r="B598" s="26"/>
      <c r="C598" s="26"/>
      <c r="D598" s="26"/>
      <c r="E598" s="28"/>
      <c r="F598" s="28"/>
    </row>
    <row r="599" customFormat="false" ht="15" hidden="false" customHeight="false" outlineLevel="0" collapsed="false">
      <c r="A599" s="26"/>
      <c r="B599" s="26"/>
      <c r="C599" s="26"/>
      <c r="D599" s="26"/>
      <c r="E599" s="28"/>
      <c r="F599" s="28"/>
    </row>
    <row r="600" customFormat="false" ht="15" hidden="false" customHeight="false" outlineLevel="0" collapsed="false">
      <c r="A600" s="26"/>
      <c r="B600" s="26"/>
      <c r="C600" s="26"/>
      <c r="D600" s="26"/>
      <c r="E600" s="28"/>
      <c r="F600" s="28"/>
    </row>
    <row r="601" customFormat="false" ht="15" hidden="false" customHeight="false" outlineLevel="0" collapsed="false">
      <c r="A601" s="26"/>
      <c r="B601" s="26"/>
      <c r="C601" s="26"/>
      <c r="D601" s="26"/>
      <c r="E601" s="28"/>
      <c r="F601" s="28"/>
    </row>
    <row r="602" customFormat="false" ht="15" hidden="false" customHeight="false" outlineLevel="0" collapsed="false">
      <c r="A602" s="26"/>
      <c r="B602" s="26"/>
      <c r="C602" s="26"/>
      <c r="D602" s="26"/>
      <c r="E602" s="28"/>
      <c r="F602" s="28"/>
    </row>
    <row r="603" customFormat="false" ht="15" hidden="false" customHeight="false" outlineLevel="0" collapsed="false">
      <c r="A603" s="26"/>
      <c r="B603" s="26"/>
      <c r="C603" s="26"/>
      <c r="D603" s="26"/>
      <c r="E603" s="28"/>
      <c r="F603" s="28"/>
    </row>
    <row r="604" customFormat="false" ht="15" hidden="false" customHeight="false" outlineLevel="0" collapsed="false">
      <c r="A604" s="26"/>
      <c r="B604" s="26"/>
      <c r="C604" s="26"/>
      <c r="D604" s="26"/>
      <c r="E604" s="28"/>
      <c r="F604" s="28"/>
    </row>
    <row r="605" customFormat="false" ht="15" hidden="false" customHeight="false" outlineLevel="0" collapsed="false">
      <c r="A605" s="26"/>
      <c r="B605" s="26"/>
      <c r="C605" s="26"/>
      <c r="D605" s="26"/>
      <c r="E605" s="28"/>
      <c r="F605" s="28"/>
    </row>
    <row r="606" customFormat="false" ht="15" hidden="false" customHeight="false" outlineLevel="0" collapsed="false">
      <c r="A606" s="26"/>
      <c r="B606" s="26"/>
      <c r="C606" s="26"/>
      <c r="D606" s="26"/>
      <c r="E606" s="28"/>
      <c r="F606" s="28"/>
    </row>
    <row r="607" customFormat="false" ht="15" hidden="false" customHeight="false" outlineLevel="0" collapsed="false">
      <c r="A607" s="26"/>
      <c r="B607" s="26"/>
      <c r="C607" s="26"/>
      <c r="D607" s="26"/>
      <c r="E607" s="28"/>
      <c r="F607" s="28"/>
    </row>
    <row r="608" customFormat="false" ht="15" hidden="false" customHeight="false" outlineLevel="0" collapsed="false">
      <c r="A608" s="26"/>
      <c r="B608" s="26"/>
      <c r="C608" s="26"/>
      <c r="D608" s="26"/>
      <c r="E608" s="28"/>
      <c r="F608" s="28"/>
    </row>
    <row r="609" customFormat="false" ht="15" hidden="false" customHeight="false" outlineLevel="0" collapsed="false">
      <c r="A609" s="26"/>
      <c r="B609" s="26"/>
      <c r="C609" s="26"/>
      <c r="D609" s="26"/>
      <c r="E609" s="28"/>
      <c r="F609" s="28"/>
    </row>
    <row r="610" customFormat="false" ht="15" hidden="false" customHeight="false" outlineLevel="0" collapsed="false">
      <c r="A610" s="26"/>
      <c r="B610" s="26"/>
      <c r="C610" s="26"/>
      <c r="D610" s="26"/>
      <c r="E610" s="28"/>
      <c r="F610" s="28"/>
    </row>
    <row r="611" customFormat="false" ht="15" hidden="false" customHeight="false" outlineLevel="0" collapsed="false">
      <c r="A611" s="26"/>
      <c r="B611" s="26"/>
      <c r="C611" s="26"/>
      <c r="D611" s="26"/>
      <c r="E611" s="28"/>
      <c r="F611" s="28"/>
    </row>
    <row r="612" customFormat="false" ht="15" hidden="false" customHeight="false" outlineLevel="0" collapsed="false">
      <c r="A612" s="26"/>
      <c r="B612" s="26"/>
      <c r="C612" s="26"/>
      <c r="D612" s="26"/>
      <c r="E612" s="28"/>
      <c r="F612" s="28"/>
    </row>
    <row r="613" customFormat="false" ht="15" hidden="false" customHeight="false" outlineLevel="0" collapsed="false">
      <c r="A613" s="26"/>
      <c r="B613" s="26"/>
      <c r="C613" s="26"/>
      <c r="D613" s="26"/>
      <c r="E613" s="28"/>
      <c r="F613" s="28"/>
    </row>
    <row r="614" customFormat="false" ht="15" hidden="false" customHeight="false" outlineLevel="0" collapsed="false">
      <c r="A614" s="26"/>
      <c r="B614" s="26"/>
      <c r="C614" s="26"/>
      <c r="D614" s="26"/>
      <c r="E614" s="28"/>
      <c r="F614" s="28"/>
    </row>
    <row r="615" customFormat="false" ht="15" hidden="false" customHeight="false" outlineLevel="0" collapsed="false">
      <c r="A615" s="26"/>
      <c r="B615" s="26"/>
      <c r="C615" s="26"/>
      <c r="D615" s="26"/>
      <c r="E615" s="28"/>
      <c r="F615" s="28"/>
    </row>
    <row r="616" customFormat="false" ht="15" hidden="false" customHeight="false" outlineLevel="0" collapsed="false">
      <c r="A616" s="26"/>
      <c r="B616" s="26"/>
      <c r="C616" s="26"/>
      <c r="D616" s="26"/>
      <c r="E616" s="28"/>
      <c r="F616" s="28"/>
    </row>
    <row r="617" customFormat="false" ht="15" hidden="false" customHeight="false" outlineLevel="0" collapsed="false">
      <c r="A617" s="26"/>
      <c r="B617" s="26"/>
      <c r="C617" s="26"/>
      <c r="D617" s="26"/>
      <c r="E617" s="28"/>
      <c r="F617" s="28"/>
    </row>
    <row r="618" customFormat="false" ht="15" hidden="false" customHeight="false" outlineLevel="0" collapsed="false">
      <c r="A618" s="26"/>
      <c r="B618" s="26"/>
      <c r="C618" s="26"/>
      <c r="D618" s="26"/>
      <c r="E618" s="28"/>
      <c r="F618" s="28"/>
    </row>
    <row r="619" customFormat="false" ht="15" hidden="false" customHeight="false" outlineLevel="0" collapsed="false">
      <c r="A619" s="26"/>
      <c r="B619" s="26"/>
      <c r="C619" s="26"/>
      <c r="D619" s="26"/>
      <c r="E619" s="28"/>
      <c r="F619" s="28"/>
    </row>
    <row r="620" customFormat="false" ht="15" hidden="false" customHeight="false" outlineLevel="0" collapsed="false">
      <c r="A620" s="26"/>
      <c r="B620" s="26"/>
      <c r="C620" s="26"/>
      <c r="D620" s="26"/>
      <c r="E620" s="28"/>
      <c r="F620" s="28"/>
    </row>
    <row r="621" customFormat="false" ht="15" hidden="false" customHeight="false" outlineLevel="0" collapsed="false">
      <c r="A621" s="26"/>
      <c r="B621" s="26"/>
      <c r="C621" s="26"/>
      <c r="D621" s="26"/>
      <c r="E621" s="28"/>
      <c r="F621" s="28"/>
    </row>
    <row r="622" customFormat="false" ht="15" hidden="false" customHeight="false" outlineLevel="0" collapsed="false">
      <c r="A622" s="26"/>
      <c r="B622" s="26"/>
      <c r="C622" s="26"/>
      <c r="D622" s="26"/>
      <c r="E622" s="28"/>
      <c r="F622" s="28"/>
    </row>
    <row r="623" customFormat="false" ht="15" hidden="false" customHeight="false" outlineLevel="0" collapsed="false">
      <c r="A623" s="26"/>
      <c r="B623" s="26"/>
      <c r="C623" s="26"/>
      <c r="D623" s="26"/>
      <c r="E623" s="28"/>
      <c r="F623" s="28"/>
    </row>
    <row r="624" customFormat="false" ht="15" hidden="false" customHeight="false" outlineLevel="0" collapsed="false">
      <c r="A624" s="26"/>
      <c r="B624" s="26"/>
      <c r="C624" s="26"/>
      <c r="D624" s="26"/>
      <c r="E624" s="28"/>
      <c r="F624" s="28"/>
    </row>
    <row r="625" customFormat="false" ht="15" hidden="false" customHeight="false" outlineLevel="0" collapsed="false">
      <c r="A625" s="26"/>
      <c r="B625" s="26"/>
      <c r="C625" s="26"/>
      <c r="D625" s="26"/>
      <c r="E625" s="28"/>
      <c r="F625" s="28"/>
    </row>
    <row r="626" customFormat="false" ht="15" hidden="false" customHeight="false" outlineLevel="0" collapsed="false">
      <c r="A626" s="26"/>
      <c r="B626" s="26"/>
      <c r="C626" s="26"/>
      <c r="D626" s="26"/>
      <c r="E626" s="28"/>
      <c r="F626" s="28"/>
    </row>
    <row r="627" customFormat="false" ht="15" hidden="false" customHeight="false" outlineLevel="0" collapsed="false">
      <c r="A627" s="26"/>
      <c r="B627" s="26"/>
      <c r="C627" s="26"/>
      <c r="D627" s="26"/>
      <c r="E627" s="28"/>
      <c r="F627" s="28"/>
    </row>
    <row r="628" customFormat="false" ht="15" hidden="false" customHeight="false" outlineLevel="0" collapsed="false">
      <c r="A628" s="26"/>
      <c r="B628" s="26"/>
      <c r="C628" s="26"/>
      <c r="D628" s="26"/>
      <c r="E628" s="28"/>
      <c r="F628" s="28"/>
    </row>
    <row r="629" customFormat="false" ht="15" hidden="false" customHeight="false" outlineLevel="0" collapsed="false">
      <c r="A629" s="26"/>
      <c r="B629" s="26"/>
      <c r="C629" s="26"/>
      <c r="D629" s="26"/>
      <c r="E629" s="28"/>
      <c r="F629" s="28"/>
    </row>
    <row r="630" customFormat="false" ht="15" hidden="false" customHeight="false" outlineLevel="0" collapsed="false">
      <c r="A630" s="26"/>
      <c r="B630" s="26"/>
      <c r="C630" s="26"/>
      <c r="D630" s="26"/>
      <c r="E630" s="28"/>
      <c r="F630" s="28"/>
    </row>
    <row r="631" customFormat="false" ht="15" hidden="false" customHeight="false" outlineLevel="0" collapsed="false">
      <c r="A631" s="26"/>
      <c r="B631" s="26"/>
      <c r="C631" s="26"/>
      <c r="D631" s="26"/>
      <c r="E631" s="28"/>
      <c r="F631" s="28"/>
    </row>
    <row r="632" customFormat="false" ht="15" hidden="false" customHeight="false" outlineLevel="0" collapsed="false">
      <c r="A632" s="26"/>
      <c r="B632" s="26"/>
      <c r="C632" s="26"/>
      <c r="D632" s="26"/>
      <c r="E632" s="28"/>
      <c r="F632" s="28"/>
    </row>
    <row r="633" customFormat="false" ht="15" hidden="false" customHeight="false" outlineLevel="0" collapsed="false">
      <c r="A633" s="26"/>
      <c r="B633" s="26"/>
      <c r="C633" s="26"/>
      <c r="D633" s="26"/>
      <c r="E633" s="28"/>
      <c r="F633" s="28"/>
    </row>
    <row r="634" customFormat="false" ht="15" hidden="false" customHeight="false" outlineLevel="0" collapsed="false">
      <c r="A634" s="26"/>
      <c r="B634" s="26"/>
      <c r="C634" s="26"/>
      <c r="D634" s="26"/>
      <c r="E634" s="28"/>
      <c r="F634" s="28"/>
    </row>
    <row r="635" customFormat="false" ht="15" hidden="false" customHeight="false" outlineLevel="0" collapsed="false">
      <c r="A635" s="26"/>
      <c r="B635" s="26"/>
      <c r="C635" s="26"/>
      <c r="D635" s="26"/>
      <c r="E635" s="28"/>
      <c r="F635" s="28"/>
    </row>
    <row r="636" customFormat="false" ht="15" hidden="false" customHeight="false" outlineLevel="0" collapsed="false">
      <c r="A636" s="26"/>
      <c r="B636" s="26"/>
      <c r="C636" s="26"/>
      <c r="D636" s="26"/>
      <c r="E636" s="28"/>
      <c r="F636" s="28"/>
    </row>
    <row r="637" customFormat="false" ht="15" hidden="false" customHeight="false" outlineLevel="0" collapsed="false">
      <c r="A637" s="26"/>
      <c r="B637" s="26"/>
      <c r="C637" s="26"/>
      <c r="D637" s="26"/>
      <c r="E637" s="28"/>
      <c r="F637" s="28"/>
    </row>
    <row r="638" customFormat="false" ht="15" hidden="false" customHeight="false" outlineLevel="0" collapsed="false">
      <c r="A638" s="26"/>
      <c r="B638" s="26"/>
      <c r="C638" s="26"/>
      <c r="D638" s="26"/>
      <c r="E638" s="28"/>
      <c r="F638" s="28"/>
    </row>
    <row r="639" customFormat="false" ht="15" hidden="false" customHeight="false" outlineLevel="0" collapsed="false">
      <c r="A639" s="26"/>
      <c r="B639" s="26"/>
      <c r="C639" s="26"/>
      <c r="D639" s="26"/>
      <c r="E639" s="28"/>
      <c r="F639" s="28"/>
    </row>
    <row r="640" customFormat="false" ht="15" hidden="false" customHeight="false" outlineLevel="0" collapsed="false">
      <c r="A640" s="26"/>
      <c r="B640" s="26"/>
      <c r="C640" s="26"/>
      <c r="D640" s="26"/>
      <c r="E640" s="28"/>
      <c r="F640" s="28"/>
    </row>
    <row r="641" customFormat="false" ht="15" hidden="false" customHeight="false" outlineLevel="0" collapsed="false">
      <c r="A641" s="26"/>
      <c r="B641" s="26"/>
      <c r="C641" s="26"/>
      <c r="D641" s="26"/>
      <c r="E641" s="28"/>
      <c r="F641" s="28"/>
    </row>
    <row r="642" customFormat="false" ht="15" hidden="false" customHeight="false" outlineLevel="0" collapsed="false">
      <c r="A642" s="26"/>
      <c r="B642" s="26"/>
      <c r="C642" s="26"/>
      <c r="D642" s="26"/>
      <c r="E642" s="28"/>
      <c r="F642" s="28"/>
    </row>
    <row r="643" customFormat="false" ht="15" hidden="false" customHeight="false" outlineLevel="0" collapsed="false">
      <c r="A643" s="26"/>
      <c r="B643" s="26"/>
      <c r="C643" s="26"/>
      <c r="D643" s="26"/>
      <c r="E643" s="28"/>
      <c r="F643" s="28"/>
    </row>
    <row r="644" customFormat="false" ht="15" hidden="false" customHeight="false" outlineLevel="0" collapsed="false">
      <c r="A644" s="26"/>
      <c r="B644" s="26"/>
      <c r="C644" s="26"/>
      <c r="D644" s="26"/>
      <c r="E644" s="28"/>
      <c r="F644" s="28"/>
    </row>
    <row r="645" customFormat="false" ht="15" hidden="false" customHeight="false" outlineLevel="0" collapsed="false">
      <c r="A645" s="26"/>
      <c r="B645" s="26"/>
      <c r="C645" s="26"/>
      <c r="D645" s="26"/>
      <c r="E645" s="28"/>
      <c r="F645" s="28"/>
    </row>
    <row r="646" customFormat="false" ht="15" hidden="false" customHeight="false" outlineLevel="0" collapsed="false">
      <c r="A646" s="26"/>
      <c r="B646" s="26"/>
      <c r="C646" s="26"/>
      <c r="D646" s="26"/>
      <c r="E646" s="28"/>
      <c r="F646" s="28"/>
    </row>
    <row r="647" customFormat="false" ht="15" hidden="false" customHeight="false" outlineLevel="0" collapsed="false">
      <c r="A647" s="26"/>
      <c r="B647" s="26"/>
      <c r="C647" s="26"/>
      <c r="D647" s="26"/>
      <c r="E647" s="28"/>
      <c r="F647" s="28"/>
    </row>
    <row r="648" customFormat="false" ht="15" hidden="false" customHeight="false" outlineLevel="0" collapsed="false">
      <c r="A648" s="26"/>
      <c r="B648" s="26"/>
      <c r="C648" s="26"/>
      <c r="D648" s="26"/>
      <c r="E648" s="28"/>
      <c r="F648" s="28"/>
    </row>
    <row r="649" customFormat="false" ht="15" hidden="false" customHeight="false" outlineLevel="0" collapsed="false">
      <c r="A649" s="26"/>
      <c r="B649" s="26"/>
      <c r="C649" s="26"/>
      <c r="D649" s="26"/>
      <c r="E649" s="28"/>
      <c r="F649" s="28"/>
    </row>
    <row r="650" customFormat="false" ht="15" hidden="false" customHeight="false" outlineLevel="0" collapsed="false">
      <c r="A650" s="26"/>
      <c r="B650" s="26"/>
      <c r="C650" s="26"/>
      <c r="D650" s="26"/>
      <c r="E650" s="28"/>
      <c r="F650" s="28"/>
    </row>
    <row r="651" customFormat="false" ht="15" hidden="false" customHeight="false" outlineLevel="0" collapsed="false">
      <c r="A651" s="26"/>
      <c r="B651" s="26"/>
      <c r="C651" s="26"/>
      <c r="D651" s="26"/>
      <c r="E651" s="28"/>
      <c r="F651" s="28"/>
    </row>
    <row r="652" customFormat="false" ht="15" hidden="false" customHeight="false" outlineLevel="0" collapsed="false">
      <c r="A652" s="26"/>
      <c r="B652" s="26"/>
      <c r="C652" s="26"/>
      <c r="D652" s="26"/>
      <c r="E652" s="28"/>
      <c r="F652" s="28"/>
    </row>
    <row r="653" customFormat="false" ht="15" hidden="false" customHeight="false" outlineLevel="0" collapsed="false">
      <c r="A653" s="26"/>
      <c r="B653" s="26"/>
      <c r="C653" s="26"/>
      <c r="D653" s="26"/>
      <c r="E653" s="28"/>
      <c r="F653" s="28"/>
    </row>
    <row r="654" customFormat="false" ht="15" hidden="false" customHeight="false" outlineLevel="0" collapsed="false">
      <c r="A654" s="26"/>
      <c r="B654" s="26"/>
      <c r="C654" s="26"/>
      <c r="D654" s="26"/>
      <c r="E654" s="28"/>
      <c r="F654" s="28"/>
    </row>
    <row r="655" customFormat="false" ht="15" hidden="false" customHeight="false" outlineLevel="0" collapsed="false">
      <c r="A655" s="26"/>
      <c r="B655" s="26"/>
      <c r="C655" s="26"/>
      <c r="D655" s="26"/>
      <c r="E655" s="28"/>
      <c r="F655" s="28"/>
    </row>
    <row r="656" customFormat="false" ht="15" hidden="false" customHeight="false" outlineLevel="0" collapsed="false">
      <c r="A656" s="26"/>
      <c r="B656" s="26"/>
      <c r="C656" s="26"/>
      <c r="D656" s="26"/>
      <c r="E656" s="28"/>
      <c r="F656" s="28"/>
    </row>
    <row r="657" customFormat="false" ht="15" hidden="false" customHeight="false" outlineLevel="0" collapsed="false">
      <c r="A657" s="26"/>
      <c r="B657" s="26"/>
      <c r="C657" s="26"/>
      <c r="D657" s="26"/>
      <c r="E657" s="28"/>
      <c r="F657" s="28"/>
    </row>
    <row r="658" customFormat="false" ht="15" hidden="false" customHeight="false" outlineLevel="0" collapsed="false">
      <c r="A658" s="26"/>
      <c r="B658" s="26"/>
      <c r="C658" s="26"/>
      <c r="D658" s="26"/>
      <c r="E658" s="28"/>
      <c r="F658" s="28"/>
    </row>
    <row r="659" customFormat="false" ht="15" hidden="false" customHeight="false" outlineLevel="0" collapsed="false">
      <c r="A659" s="26"/>
      <c r="B659" s="26"/>
      <c r="C659" s="26"/>
      <c r="D659" s="26"/>
      <c r="E659" s="28"/>
      <c r="F659" s="28"/>
    </row>
    <row r="660" customFormat="false" ht="15" hidden="false" customHeight="false" outlineLevel="0" collapsed="false">
      <c r="A660" s="26"/>
      <c r="B660" s="26"/>
      <c r="C660" s="26"/>
      <c r="D660" s="26"/>
      <c r="E660" s="28"/>
      <c r="F660" s="28"/>
    </row>
    <row r="661" customFormat="false" ht="15" hidden="false" customHeight="false" outlineLevel="0" collapsed="false">
      <c r="A661" s="26"/>
      <c r="B661" s="26"/>
      <c r="C661" s="26"/>
      <c r="D661" s="26"/>
      <c r="E661" s="28"/>
      <c r="F661" s="28"/>
    </row>
    <row r="662" customFormat="false" ht="15" hidden="false" customHeight="false" outlineLevel="0" collapsed="false">
      <c r="A662" s="26"/>
      <c r="B662" s="26"/>
      <c r="C662" s="26"/>
      <c r="D662" s="26"/>
      <c r="E662" s="28"/>
      <c r="F662" s="28"/>
    </row>
    <row r="663" customFormat="false" ht="15" hidden="false" customHeight="false" outlineLevel="0" collapsed="false">
      <c r="A663" s="26"/>
      <c r="B663" s="26"/>
      <c r="C663" s="26"/>
      <c r="D663" s="26"/>
      <c r="E663" s="28"/>
      <c r="F663" s="28"/>
    </row>
    <row r="664" customFormat="false" ht="15" hidden="false" customHeight="false" outlineLevel="0" collapsed="false">
      <c r="A664" s="26"/>
      <c r="B664" s="26"/>
      <c r="C664" s="26"/>
      <c r="D664" s="26"/>
      <c r="E664" s="28"/>
      <c r="F664" s="28"/>
    </row>
    <row r="665" customFormat="false" ht="15" hidden="false" customHeight="false" outlineLevel="0" collapsed="false">
      <c r="A665" s="26"/>
      <c r="B665" s="26"/>
      <c r="C665" s="26"/>
      <c r="D665" s="26"/>
      <c r="E665" s="28"/>
      <c r="F665" s="28"/>
    </row>
    <row r="666" customFormat="false" ht="15" hidden="false" customHeight="false" outlineLevel="0" collapsed="false">
      <c r="A666" s="26"/>
      <c r="B666" s="26"/>
      <c r="C666" s="26"/>
      <c r="D666" s="26"/>
      <c r="E666" s="28"/>
      <c r="F666" s="28"/>
    </row>
    <row r="667" customFormat="false" ht="15" hidden="false" customHeight="false" outlineLevel="0" collapsed="false">
      <c r="A667" s="26"/>
      <c r="B667" s="26"/>
      <c r="C667" s="26"/>
      <c r="D667" s="26"/>
      <c r="E667" s="28"/>
      <c r="F667" s="28"/>
    </row>
    <row r="668" customFormat="false" ht="15" hidden="false" customHeight="false" outlineLevel="0" collapsed="false">
      <c r="A668" s="26"/>
      <c r="B668" s="26"/>
      <c r="C668" s="26"/>
      <c r="D668" s="26"/>
      <c r="E668" s="28"/>
      <c r="F668" s="28"/>
    </row>
    <row r="669" customFormat="false" ht="15" hidden="false" customHeight="false" outlineLevel="0" collapsed="false">
      <c r="A669" s="26"/>
      <c r="B669" s="26"/>
      <c r="C669" s="26"/>
      <c r="D669" s="26"/>
      <c r="E669" s="28"/>
      <c r="F669" s="28"/>
    </row>
    <row r="670" customFormat="false" ht="15" hidden="false" customHeight="false" outlineLevel="0" collapsed="false">
      <c r="A670" s="26"/>
      <c r="B670" s="26"/>
      <c r="C670" s="26"/>
      <c r="D670" s="26"/>
      <c r="E670" s="28"/>
      <c r="F670" s="28"/>
    </row>
    <row r="671" customFormat="false" ht="15" hidden="false" customHeight="false" outlineLevel="0" collapsed="false">
      <c r="A671" s="26"/>
      <c r="B671" s="26"/>
      <c r="C671" s="26"/>
      <c r="D671" s="26"/>
      <c r="E671" s="28"/>
      <c r="F671" s="28"/>
    </row>
    <row r="672" customFormat="false" ht="15" hidden="false" customHeight="false" outlineLevel="0" collapsed="false">
      <c r="A672" s="26"/>
      <c r="B672" s="26"/>
      <c r="C672" s="26"/>
      <c r="D672" s="26"/>
      <c r="E672" s="28"/>
      <c r="F672" s="28"/>
    </row>
    <row r="673" customFormat="false" ht="15" hidden="false" customHeight="false" outlineLevel="0" collapsed="false">
      <c r="A673" s="26"/>
      <c r="B673" s="26"/>
      <c r="C673" s="26"/>
      <c r="D673" s="26"/>
      <c r="E673" s="28"/>
      <c r="F673" s="28"/>
    </row>
    <row r="674" customFormat="false" ht="15" hidden="false" customHeight="false" outlineLevel="0" collapsed="false">
      <c r="A674" s="26"/>
      <c r="B674" s="26"/>
      <c r="C674" s="26"/>
      <c r="D674" s="26"/>
      <c r="E674" s="28"/>
      <c r="F674" s="28"/>
    </row>
    <row r="675" customFormat="false" ht="15" hidden="false" customHeight="false" outlineLevel="0" collapsed="false">
      <c r="A675" s="26"/>
      <c r="B675" s="26"/>
      <c r="C675" s="26"/>
      <c r="D675" s="26"/>
      <c r="E675" s="28"/>
      <c r="F675" s="28"/>
    </row>
    <row r="676" customFormat="false" ht="15" hidden="false" customHeight="false" outlineLevel="0" collapsed="false">
      <c r="A676" s="26"/>
      <c r="B676" s="26"/>
      <c r="C676" s="26"/>
      <c r="D676" s="26"/>
      <c r="E676" s="28"/>
      <c r="F676" s="28"/>
    </row>
    <row r="677" customFormat="false" ht="15" hidden="false" customHeight="false" outlineLevel="0" collapsed="false">
      <c r="A677" s="26"/>
      <c r="B677" s="26"/>
      <c r="C677" s="26"/>
      <c r="D677" s="26"/>
      <c r="E677" s="28"/>
      <c r="F677" s="28"/>
    </row>
    <row r="678" customFormat="false" ht="15" hidden="false" customHeight="false" outlineLevel="0" collapsed="false">
      <c r="A678" s="26"/>
      <c r="B678" s="26"/>
      <c r="C678" s="26"/>
      <c r="D678" s="26"/>
      <c r="E678" s="28"/>
      <c r="F678" s="28"/>
    </row>
    <row r="679" customFormat="false" ht="15" hidden="false" customHeight="false" outlineLevel="0" collapsed="false">
      <c r="A679" s="26"/>
      <c r="B679" s="26"/>
      <c r="C679" s="26"/>
      <c r="D679" s="26"/>
      <c r="E679" s="28"/>
      <c r="F679" s="28"/>
    </row>
    <row r="680" customFormat="false" ht="15" hidden="false" customHeight="false" outlineLevel="0" collapsed="false">
      <c r="A680" s="26"/>
      <c r="B680" s="26"/>
      <c r="C680" s="26"/>
      <c r="D680" s="26"/>
      <c r="E680" s="28"/>
      <c r="F680" s="28"/>
    </row>
    <row r="681" customFormat="false" ht="15" hidden="false" customHeight="false" outlineLevel="0" collapsed="false">
      <c r="A681" s="26"/>
      <c r="B681" s="26"/>
      <c r="C681" s="26"/>
      <c r="D681" s="26"/>
      <c r="E681" s="28"/>
      <c r="F681" s="28"/>
    </row>
    <row r="682" customFormat="false" ht="15" hidden="false" customHeight="false" outlineLevel="0" collapsed="false">
      <c r="A682" s="26"/>
      <c r="B682" s="26"/>
      <c r="C682" s="26"/>
      <c r="D682" s="26"/>
      <c r="E682" s="28"/>
      <c r="F682" s="28"/>
    </row>
    <row r="683" customFormat="false" ht="15" hidden="false" customHeight="false" outlineLevel="0" collapsed="false">
      <c r="A683" s="26"/>
      <c r="B683" s="26"/>
      <c r="C683" s="26"/>
      <c r="D683" s="26"/>
      <c r="E683" s="28"/>
      <c r="F683" s="28"/>
    </row>
    <row r="684" customFormat="false" ht="15" hidden="false" customHeight="false" outlineLevel="0" collapsed="false">
      <c r="A684" s="26"/>
      <c r="B684" s="26"/>
      <c r="C684" s="26"/>
      <c r="D684" s="26"/>
      <c r="E684" s="28"/>
      <c r="F684" s="28"/>
    </row>
    <row r="685" customFormat="false" ht="15" hidden="false" customHeight="false" outlineLevel="0" collapsed="false">
      <c r="A685" s="26"/>
      <c r="B685" s="26"/>
      <c r="C685" s="26"/>
      <c r="D685" s="26"/>
      <c r="E685" s="28"/>
      <c r="F685" s="28"/>
    </row>
    <row r="686" customFormat="false" ht="15" hidden="false" customHeight="false" outlineLevel="0" collapsed="false">
      <c r="A686" s="26"/>
      <c r="B686" s="26"/>
      <c r="C686" s="26"/>
      <c r="D686" s="26"/>
      <c r="E686" s="28"/>
      <c r="F686" s="28"/>
    </row>
    <row r="687" customFormat="false" ht="15" hidden="false" customHeight="false" outlineLevel="0" collapsed="false">
      <c r="A687" s="26"/>
      <c r="B687" s="26"/>
      <c r="C687" s="26"/>
      <c r="D687" s="26"/>
      <c r="E687" s="28"/>
      <c r="F687" s="28"/>
    </row>
    <row r="688" customFormat="false" ht="15" hidden="false" customHeight="false" outlineLevel="0" collapsed="false">
      <c r="A688" s="26"/>
      <c r="B688" s="26"/>
      <c r="C688" s="26"/>
      <c r="D688" s="26"/>
      <c r="E688" s="28"/>
      <c r="F688" s="28"/>
    </row>
    <row r="689" customFormat="false" ht="15" hidden="false" customHeight="false" outlineLevel="0" collapsed="false">
      <c r="A689" s="26"/>
      <c r="B689" s="26"/>
      <c r="C689" s="26"/>
      <c r="D689" s="26"/>
      <c r="E689" s="28"/>
      <c r="F689" s="28"/>
    </row>
    <row r="690" customFormat="false" ht="15" hidden="false" customHeight="false" outlineLevel="0" collapsed="false">
      <c r="A690" s="26"/>
      <c r="B690" s="26"/>
      <c r="C690" s="26"/>
      <c r="D690" s="26"/>
      <c r="E690" s="28"/>
      <c r="F690" s="28"/>
    </row>
    <row r="691" customFormat="false" ht="15" hidden="false" customHeight="false" outlineLevel="0" collapsed="false">
      <c r="A691" s="26"/>
      <c r="B691" s="26"/>
      <c r="C691" s="26"/>
      <c r="D691" s="26"/>
      <c r="E691" s="28"/>
      <c r="F691" s="28"/>
    </row>
    <row r="692" customFormat="false" ht="15" hidden="false" customHeight="false" outlineLevel="0" collapsed="false">
      <c r="A692" s="26"/>
      <c r="B692" s="26"/>
      <c r="C692" s="26"/>
      <c r="D692" s="26"/>
      <c r="E692" s="28"/>
      <c r="F692" s="28"/>
    </row>
    <row r="693" customFormat="false" ht="15" hidden="false" customHeight="false" outlineLevel="0" collapsed="false">
      <c r="A693" s="26"/>
      <c r="B693" s="26"/>
      <c r="C693" s="26"/>
      <c r="D693" s="26"/>
      <c r="E693" s="28"/>
      <c r="F693" s="28"/>
    </row>
    <row r="694" customFormat="false" ht="15" hidden="false" customHeight="false" outlineLevel="0" collapsed="false">
      <c r="A694" s="26"/>
      <c r="B694" s="26"/>
      <c r="C694" s="26"/>
      <c r="D694" s="26"/>
      <c r="E694" s="28"/>
      <c r="F694" s="28"/>
    </row>
    <row r="695" customFormat="false" ht="15" hidden="false" customHeight="false" outlineLevel="0" collapsed="false">
      <c r="A695" s="26"/>
      <c r="B695" s="26"/>
      <c r="C695" s="26"/>
      <c r="D695" s="26"/>
      <c r="E695" s="28"/>
      <c r="F695" s="28"/>
    </row>
    <row r="696" customFormat="false" ht="15" hidden="false" customHeight="false" outlineLevel="0" collapsed="false">
      <c r="A696" s="26"/>
      <c r="B696" s="26"/>
      <c r="C696" s="26"/>
      <c r="D696" s="26"/>
      <c r="E696" s="28"/>
      <c r="F696" s="28"/>
    </row>
    <row r="697" customFormat="false" ht="15" hidden="false" customHeight="false" outlineLevel="0" collapsed="false">
      <c r="A697" s="26"/>
      <c r="B697" s="26"/>
      <c r="C697" s="26"/>
      <c r="D697" s="26"/>
      <c r="E697" s="28"/>
      <c r="F697" s="28"/>
    </row>
    <row r="698" customFormat="false" ht="15" hidden="false" customHeight="false" outlineLevel="0" collapsed="false">
      <c r="A698" s="26"/>
      <c r="B698" s="26"/>
      <c r="C698" s="26"/>
      <c r="D698" s="26"/>
      <c r="E698" s="28"/>
      <c r="F698" s="28"/>
    </row>
    <row r="699" customFormat="false" ht="15" hidden="false" customHeight="false" outlineLevel="0" collapsed="false">
      <c r="A699" s="26"/>
      <c r="B699" s="26"/>
      <c r="C699" s="26"/>
      <c r="D699" s="26"/>
      <c r="E699" s="28"/>
      <c r="F699" s="28"/>
    </row>
    <row r="700" customFormat="false" ht="15" hidden="false" customHeight="false" outlineLevel="0" collapsed="false">
      <c r="A700" s="26"/>
      <c r="B700" s="26"/>
      <c r="C700" s="26"/>
      <c r="D700" s="26"/>
      <c r="E700" s="28"/>
      <c r="F700" s="28"/>
    </row>
    <row r="701" customFormat="false" ht="15" hidden="false" customHeight="false" outlineLevel="0" collapsed="false">
      <c r="A701" s="26"/>
      <c r="B701" s="26"/>
      <c r="C701" s="26"/>
      <c r="D701" s="26"/>
      <c r="E701" s="28"/>
      <c r="F701" s="28"/>
    </row>
    <row r="702" customFormat="false" ht="15" hidden="false" customHeight="false" outlineLevel="0" collapsed="false">
      <c r="A702" s="26"/>
      <c r="B702" s="26"/>
      <c r="C702" s="26"/>
      <c r="D702" s="26"/>
      <c r="E702" s="28"/>
      <c r="F702" s="28"/>
    </row>
    <row r="703" customFormat="false" ht="15" hidden="false" customHeight="false" outlineLevel="0" collapsed="false">
      <c r="A703" s="26"/>
      <c r="B703" s="26"/>
      <c r="C703" s="26"/>
      <c r="D703" s="26"/>
      <c r="E703" s="28"/>
      <c r="F703" s="28"/>
    </row>
    <row r="704" customFormat="false" ht="15" hidden="false" customHeight="false" outlineLevel="0" collapsed="false">
      <c r="A704" s="26"/>
      <c r="B704" s="26"/>
      <c r="C704" s="26"/>
      <c r="D704" s="26"/>
      <c r="E704" s="28"/>
      <c r="F704" s="28"/>
    </row>
    <row r="705" customFormat="false" ht="15" hidden="false" customHeight="false" outlineLevel="0" collapsed="false">
      <c r="A705" s="26"/>
      <c r="B705" s="26"/>
      <c r="C705" s="26"/>
      <c r="D705" s="26"/>
      <c r="E705" s="28"/>
      <c r="F705" s="28"/>
    </row>
    <row r="706" customFormat="false" ht="15" hidden="false" customHeight="false" outlineLevel="0" collapsed="false">
      <c r="A706" s="26"/>
      <c r="B706" s="26"/>
      <c r="C706" s="26"/>
      <c r="D706" s="26"/>
      <c r="E706" s="28"/>
      <c r="F706" s="28"/>
    </row>
    <row r="707" customFormat="false" ht="15" hidden="false" customHeight="false" outlineLevel="0" collapsed="false">
      <c r="A707" s="26"/>
      <c r="B707" s="26"/>
      <c r="C707" s="26"/>
      <c r="D707" s="26"/>
      <c r="E707" s="28"/>
      <c r="F707" s="28"/>
    </row>
    <row r="708" customFormat="false" ht="15" hidden="false" customHeight="false" outlineLevel="0" collapsed="false">
      <c r="A708" s="26"/>
      <c r="B708" s="26"/>
      <c r="C708" s="26"/>
      <c r="D708" s="26"/>
      <c r="E708" s="28"/>
      <c r="F708" s="28"/>
    </row>
    <row r="709" customFormat="false" ht="15" hidden="false" customHeight="false" outlineLevel="0" collapsed="false">
      <c r="A709" s="26"/>
      <c r="B709" s="26"/>
      <c r="C709" s="26"/>
      <c r="D709" s="26"/>
      <c r="E709" s="28"/>
      <c r="F709" s="28"/>
    </row>
    <row r="710" customFormat="false" ht="15" hidden="false" customHeight="false" outlineLevel="0" collapsed="false">
      <c r="A710" s="26"/>
      <c r="B710" s="26"/>
      <c r="C710" s="26"/>
      <c r="D710" s="26"/>
      <c r="E710" s="28"/>
      <c r="F710" s="28"/>
    </row>
    <row r="711" customFormat="false" ht="15" hidden="false" customHeight="false" outlineLevel="0" collapsed="false">
      <c r="A711" s="26"/>
      <c r="B711" s="26"/>
      <c r="C711" s="26"/>
      <c r="D711" s="26"/>
      <c r="E711" s="28"/>
      <c r="F711" s="28"/>
    </row>
    <row r="712" customFormat="false" ht="15" hidden="false" customHeight="false" outlineLevel="0" collapsed="false">
      <c r="A712" s="26"/>
      <c r="B712" s="26"/>
      <c r="C712" s="26"/>
      <c r="D712" s="26"/>
      <c r="E712" s="28"/>
      <c r="F712" s="28"/>
    </row>
    <row r="713" customFormat="false" ht="15" hidden="false" customHeight="false" outlineLevel="0" collapsed="false">
      <c r="A713" s="26"/>
      <c r="B713" s="26"/>
      <c r="C713" s="26"/>
      <c r="D713" s="26"/>
      <c r="E713" s="28"/>
      <c r="F713" s="28"/>
    </row>
    <row r="714" customFormat="false" ht="15" hidden="false" customHeight="false" outlineLevel="0" collapsed="false">
      <c r="A714" s="26"/>
      <c r="B714" s="26"/>
      <c r="C714" s="26"/>
      <c r="D714" s="26"/>
      <c r="E714" s="28"/>
      <c r="F714" s="28"/>
    </row>
    <row r="715" customFormat="false" ht="15" hidden="false" customHeight="false" outlineLevel="0" collapsed="false">
      <c r="A715" s="26"/>
      <c r="B715" s="26"/>
      <c r="C715" s="26"/>
      <c r="D715" s="26"/>
      <c r="E715" s="28"/>
      <c r="F715" s="28"/>
    </row>
    <row r="716" customFormat="false" ht="15" hidden="false" customHeight="false" outlineLevel="0" collapsed="false">
      <c r="A716" s="26"/>
      <c r="B716" s="26"/>
      <c r="C716" s="26"/>
      <c r="D716" s="26"/>
      <c r="E716" s="28"/>
      <c r="F716" s="28"/>
    </row>
    <row r="717" customFormat="false" ht="15" hidden="false" customHeight="false" outlineLevel="0" collapsed="false">
      <c r="A717" s="26"/>
      <c r="B717" s="26"/>
      <c r="C717" s="26"/>
      <c r="D717" s="26"/>
      <c r="E717" s="28"/>
      <c r="F717" s="28"/>
    </row>
    <row r="718" customFormat="false" ht="15" hidden="false" customHeight="false" outlineLevel="0" collapsed="false">
      <c r="A718" s="26"/>
      <c r="B718" s="26"/>
      <c r="C718" s="26"/>
      <c r="D718" s="26"/>
      <c r="E718" s="28"/>
      <c r="F718" s="28"/>
    </row>
    <row r="719" customFormat="false" ht="15" hidden="false" customHeight="false" outlineLevel="0" collapsed="false">
      <c r="A719" s="26"/>
      <c r="B719" s="26"/>
      <c r="C719" s="26"/>
      <c r="D719" s="26"/>
      <c r="E719" s="28"/>
      <c r="F719" s="28"/>
    </row>
    <row r="720" customFormat="false" ht="15" hidden="false" customHeight="false" outlineLevel="0" collapsed="false">
      <c r="A720" s="26"/>
      <c r="B720" s="26"/>
      <c r="C720" s="26"/>
      <c r="D720" s="26"/>
      <c r="E720" s="28"/>
      <c r="F720" s="28"/>
    </row>
    <row r="721" customFormat="false" ht="15" hidden="false" customHeight="false" outlineLevel="0" collapsed="false">
      <c r="A721" s="26"/>
      <c r="B721" s="26"/>
      <c r="C721" s="26"/>
      <c r="D721" s="26"/>
      <c r="E721" s="28"/>
      <c r="F721" s="28"/>
    </row>
    <row r="722" customFormat="false" ht="15" hidden="false" customHeight="false" outlineLevel="0" collapsed="false">
      <c r="A722" s="26"/>
      <c r="B722" s="26"/>
      <c r="C722" s="26"/>
      <c r="D722" s="26"/>
      <c r="E722" s="28"/>
      <c r="F722" s="28"/>
    </row>
    <row r="723" customFormat="false" ht="15" hidden="false" customHeight="false" outlineLevel="0" collapsed="false">
      <c r="A723" s="26"/>
      <c r="B723" s="26"/>
      <c r="C723" s="26"/>
      <c r="D723" s="26"/>
      <c r="E723" s="28"/>
      <c r="F723" s="28"/>
    </row>
    <row r="724" customFormat="false" ht="15" hidden="false" customHeight="false" outlineLevel="0" collapsed="false">
      <c r="A724" s="26"/>
      <c r="B724" s="26"/>
      <c r="C724" s="26"/>
      <c r="D724" s="26"/>
      <c r="E724" s="28"/>
      <c r="F724" s="28"/>
    </row>
    <row r="725" customFormat="false" ht="15" hidden="false" customHeight="false" outlineLevel="0" collapsed="false">
      <c r="A725" s="26"/>
      <c r="B725" s="26"/>
      <c r="C725" s="26"/>
      <c r="D725" s="26"/>
      <c r="E725" s="28"/>
      <c r="F725" s="28"/>
    </row>
    <row r="726" customFormat="false" ht="15" hidden="false" customHeight="false" outlineLevel="0" collapsed="false">
      <c r="A726" s="26"/>
      <c r="B726" s="26"/>
      <c r="C726" s="26"/>
      <c r="D726" s="26"/>
      <c r="E726" s="28"/>
      <c r="F726" s="28"/>
    </row>
    <row r="727" customFormat="false" ht="15" hidden="false" customHeight="false" outlineLevel="0" collapsed="false">
      <c r="A727" s="26"/>
      <c r="B727" s="26"/>
      <c r="C727" s="26"/>
      <c r="D727" s="26"/>
      <c r="E727" s="28"/>
      <c r="F727" s="28"/>
    </row>
    <row r="728" customFormat="false" ht="15" hidden="false" customHeight="false" outlineLevel="0" collapsed="false">
      <c r="A728" s="26"/>
      <c r="B728" s="26"/>
      <c r="C728" s="26"/>
      <c r="D728" s="26"/>
      <c r="E728" s="28"/>
      <c r="F728" s="28"/>
    </row>
    <row r="729" customFormat="false" ht="15" hidden="false" customHeight="false" outlineLevel="0" collapsed="false">
      <c r="A729" s="26"/>
      <c r="B729" s="26"/>
      <c r="C729" s="26"/>
      <c r="D729" s="26"/>
      <c r="E729" s="28"/>
      <c r="F729" s="28"/>
    </row>
    <row r="730" customFormat="false" ht="15" hidden="false" customHeight="false" outlineLevel="0" collapsed="false">
      <c r="A730" s="26"/>
      <c r="B730" s="26"/>
      <c r="C730" s="26"/>
      <c r="D730" s="26"/>
      <c r="E730" s="28"/>
      <c r="F730" s="28"/>
    </row>
    <row r="731" customFormat="false" ht="15" hidden="false" customHeight="false" outlineLevel="0" collapsed="false">
      <c r="A731" s="26"/>
      <c r="B731" s="26"/>
      <c r="C731" s="26"/>
      <c r="D731" s="26"/>
      <c r="E731" s="28"/>
      <c r="F731" s="28"/>
    </row>
    <row r="732" customFormat="false" ht="15" hidden="false" customHeight="false" outlineLevel="0" collapsed="false">
      <c r="A732" s="26"/>
      <c r="B732" s="26"/>
      <c r="C732" s="26"/>
      <c r="D732" s="26"/>
      <c r="E732" s="28"/>
      <c r="F732" s="28"/>
    </row>
    <row r="733" customFormat="false" ht="15" hidden="false" customHeight="false" outlineLevel="0" collapsed="false">
      <c r="A733" s="26"/>
      <c r="B733" s="26"/>
      <c r="C733" s="26"/>
      <c r="D733" s="26"/>
      <c r="E733" s="28"/>
      <c r="F733" s="28"/>
    </row>
    <row r="734" customFormat="false" ht="15" hidden="false" customHeight="false" outlineLevel="0" collapsed="false">
      <c r="A734" s="26"/>
      <c r="B734" s="26"/>
      <c r="C734" s="26"/>
      <c r="D734" s="26"/>
      <c r="E734" s="28"/>
      <c r="F734" s="28"/>
    </row>
    <row r="735" customFormat="false" ht="15" hidden="false" customHeight="false" outlineLevel="0" collapsed="false">
      <c r="A735" s="26"/>
      <c r="B735" s="26"/>
      <c r="C735" s="26"/>
      <c r="D735" s="26"/>
      <c r="E735" s="28"/>
      <c r="F735" s="28"/>
    </row>
    <row r="736" customFormat="false" ht="15" hidden="false" customHeight="false" outlineLevel="0" collapsed="false">
      <c r="A736" s="26"/>
      <c r="B736" s="26"/>
      <c r="C736" s="26"/>
      <c r="D736" s="26"/>
      <c r="E736" s="28"/>
      <c r="F736" s="28"/>
    </row>
    <row r="737" customFormat="false" ht="15" hidden="false" customHeight="false" outlineLevel="0" collapsed="false">
      <c r="A737" s="26"/>
      <c r="B737" s="26"/>
      <c r="C737" s="26"/>
      <c r="D737" s="26"/>
      <c r="E737" s="28"/>
      <c r="F737" s="28"/>
    </row>
    <row r="738" customFormat="false" ht="15" hidden="false" customHeight="false" outlineLevel="0" collapsed="false">
      <c r="A738" s="26"/>
      <c r="B738" s="26"/>
      <c r="C738" s="26"/>
      <c r="D738" s="26"/>
      <c r="E738" s="28"/>
      <c r="F738" s="28"/>
    </row>
    <row r="739" customFormat="false" ht="15" hidden="false" customHeight="false" outlineLevel="0" collapsed="false">
      <c r="A739" s="26"/>
      <c r="B739" s="26"/>
      <c r="C739" s="26"/>
      <c r="D739" s="26"/>
      <c r="E739" s="28"/>
      <c r="F739" s="28"/>
    </row>
    <row r="740" customFormat="false" ht="15" hidden="false" customHeight="false" outlineLevel="0" collapsed="false">
      <c r="A740" s="26"/>
      <c r="B740" s="26"/>
      <c r="C740" s="26"/>
      <c r="D740" s="26"/>
      <c r="E740" s="28"/>
      <c r="F740" s="28"/>
    </row>
    <row r="741" customFormat="false" ht="15" hidden="false" customHeight="false" outlineLevel="0" collapsed="false">
      <c r="A741" s="26"/>
      <c r="B741" s="26"/>
      <c r="C741" s="26"/>
      <c r="D741" s="26"/>
      <c r="E741" s="28"/>
      <c r="F741" s="28"/>
    </row>
    <row r="742" customFormat="false" ht="15" hidden="false" customHeight="false" outlineLevel="0" collapsed="false">
      <c r="A742" s="26"/>
      <c r="B742" s="26"/>
      <c r="C742" s="26"/>
      <c r="D742" s="26"/>
      <c r="E742" s="28"/>
      <c r="F742" s="28"/>
    </row>
    <row r="743" customFormat="false" ht="15" hidden="false" customHeight="false" outlineLevel="0" collapsed="false">
      <c r="A743" s="26"/>
      <c r="B743" s="26"/>
      <c r="C743" s="26"/>
      <c r="D743" s="26"/>
      <c r="E743" s="28"/>
      <c r="F743" s="28"/>
    </row>
    <row r="744" customFormat="false" ht="15" hidden="false" customHeight="false" outlineLevel="0" collapsed="false">
      <c r="A744" s="26"/>
      <c r="B744" s="26"/>
      <c r="C744" s="26"/>
      <c r="D744" s="26"/>
      <c r="E744" s="28"/>
      <c r="F744" s="28"/>
    </row>
    <row r="745" customFormat="false" ht="15" hidden="false" customHeight="false" outlineLevel="0" collapsed="false">
      <c r="A745" s="26"/>
      <c r="B745" s="26"/>
      <c r="C745" s="26"/>
      <c r="D745" s="26"/>
      <c r="E745" s="28"/>
      <c r="F745" s="28"/>
    </row>
    <row r="746" customFormat="false" ht="15" hidden="false" customHeight="false" outlineLevel="0" collapsed="false">
      <c r="A746" s="26"/>
      <c r="B746" s="26"/>
      <c r="C746" s="26"/>
      <c r="D746" s="26"/>
      <c r="E746" s="28"/>
      <c r="F746" s="28"/>
    </row>
    <row r="747" customFormat="false" ht="15" hidden="false" customHeight="false" outlineLevel="0" collapsed="false">
      <c r="A747" s="26"/>
      <c r="B747" s="26"/>
      <c r="C747" s="26"/>
      <c r="D747" s="26"/>
      <c r="E747" s="28"/>
      <c r="F747" s="28"/>
    </row>
    <row r="748" customFormat="false" ht="15" hidden="false" customHeight="false" outlineLevel="0" collapsed="false">
      <c r="A748" s="26"/>
      <c r="B748" s="26"/>
      <c r="C748" s="26"/>
      <c r="D748" s="26"/>
      <c r="E748" s="28"/>
      <c r="F748" s="28"/>
    </row>
    <row r="749" customFormat="false" ht="15" hidden="false" customHeight="false" outlineLevel="0" collapsed="false">
      <c r="A749" s="26"/>
      <c r="B749" s="26"/>
      <c r="C749" s="26"/>
      <c r="D749" s="26"/>
      <c r="E749" s="28"/>
      <c r="F749" s="28"/>
    </row>
    <row r="750" customFormat="false" ht="15" hidden="false" customHeight="false" outlineLevel="0" collapsed="false">
      <c r="A750" s="26"/>
      <c r="B750" s="26"/>
      <c r="C750" s="26"/>
      <c r="D750" s="26"/>
      <c r="E750" s="28"/>
      <c r="F750" s="28"/>
    </row>
    <row r="751" customFormat="false" ht="15" hidden="false" customHeight="false" outlineLevel="0" collapsed="false">
      <c r="A751" s="26"/>
      <c r="B751" s="26"/>
      <c r="C751" s="26"/>
      <c r="D751" s="26"/>
      <c r="E751" s="28"/>
      <c r="F751" s="28"/>
    </row>
    <row r="752" customFormat="false" ht="15" hidden="false" customHeight="false" outlineLevel="0" collapsed="false">
      <c r="A752" s="26"/>
      <c r="B752" s="26"/>
      <c r="C752" s="26"/>
      <c r="D752" s="26"/>
      <c r="E752" s="28"/>
      <c r="F752" s="28"/>
    </row>
    <row r="753" customFormat="false" ht="15" hidden="false" customHeight="false" outlineLevel="0" collapsed="false">
      <c r="A753" s="26"/>
      <c r="B753" s="26"/>
      <c r="C753" s="26"/>
      <c r="D753" s="26"/>
      <c r="E753" s="28"/>
      <c r="F753" s="28"/>
    </row>
    <row r="754" customFormat="false" ht="15" hidden="false" customHeight="false" outlineLevel="0" collapsed="false">
      <c r="A754" s="26"/>
      <c r="B754" s="26"/>
      <c r="C754" s="26"/>
      <c r="D754" s="26"/>
      <c r="E754" s="28"/>
      <c r="F754" s="28"/>
    </row>
    <row r="755" customFormat="false" ht="15" hidden="false" customHeight="false" outlineLevel="0" collapsed="false">
      <c r="A755" s="26"/>
      <c r="B755" s="26"/>
      <c r="C755" s="26"/>
      <c r="D755" s="26"/>
      <c r="E755" s="28"/>
      <c r="F755" s="28"/>
    </row>
    <row r="756" customFormat="false" ht="15" hidden="false" customHeight="false" outlineLevel="0" collapsed="false">
      <c r="A756" s="26"/>
      <c r="B756" s="26"/>
      <c r="C756" s="26"/>
      <c r="D756" s="26"/>
      <c r="E756" s="28"/>
      <c r="F756" s="28"/>
    </row>
    <row r="757" customFormat="false" ht="15" hidden="false" customHeight="false" outlineLevel="0" collapsed="false">
      <c r="A757" s="26"/>
      <c r="B757" s="26"/>
      <c r="C757" s="26"/>
      <c r="D757" s="26"/>
      <c r="E757" s="28"/>
      <c r="F757" s="28"/>
    </row>
    <row r="758" customFormat="false" ht="15" hidden="false" customHeight="false" outlineLevel="0" collapsed="false">
      <c r="A758" s="26"/>
      <c r="B758" s="26"/>
      <c r="C758" s="26"/>
      <c r="D758" s="26"/>
      <c r="E758" s="28"/>
      <c r="F758" s="28"/>
    </row>
    <row r="759" customFormat="false" ht="15" hidden="false" customHeight="false" outlineLevel="0" collapsed="false">
      <c r="A759" s="26"/>
      <c r="B759" s="26"/>
      <c r="C759" s="26"/>
      <c r="D759" s="26"/>
      <c r="E759" s="28"/>
      <c r="F759" s="28"/>
    </row>
    <row r="760" customFormat="false" ht="15" hidden="false" customHeight="false" outlineLevel="0" collapsed="false">
      <c r="A760" s="26"/>
      <c r="B760" s="26"/>
      <c r="C760" s="26"/>
      <c r="D760" s="26"/>
      <c r="E760" s="28"/>
      <c r="F760" s="28"/>
    </row>
    <row r="761" customFormat="false" ht="15" hidden="false" customHeight="false" outlineLevel="0" collapsed="false">
      <c r="A761" s="26"/>
      <c r="B761" s="26"/>
      <c r="C761" s="26"/>
      <c r="D761" s="26"/>
      <c r="E761" s="28"/>
      <c r="F761" s="28"/>
    </row>
    <row r="762" customFormat="false" ht="15" hidden="false" customHeight="false" outlineLevel="0" collapsed="false">
      <c r="A762" s="26"/>
      <c r="B762" s="26"/>
      <c r="C762" s="26"/>
      <c r="D762" s="26"/>
      <c r="E762" s="28"/>
      <c r="F762" s="28"/>
    </row>
    <row r="763" customFormat="false" ht="15" hidden="false" customHeight="false" outlineLevel="0" collapsed="false">
      <c r="A763" s="26"/>
      <c r="B763" s="26"/>
      <c r="C763" s="26"/>
      <c r="D763" s="26"/>
      <c r="E763" s="28"/>
      <c r="F763" s="28"/>
    </row>
    <row r="764" customFormat="false" ht="15" hidden="false" customHeight="false" outlineLevel="0" collapsed="false">
      <c r="A764" s="26"/>
      <c r="B764" s="26"/>
      <c r="C764" s="26"/>
      <c r="D764" s="26"/>
      <c r="E764" s="28"/>
      <c r="F764" s="28"/>
    </row>
    <row r="765" customFormat="false" ht="15" hidden="false" customHeight="false" outlineLevel="0" collapsed="false">
      <c r="A765" s="26"/>
      <c r="B765" s="26"/>
      <c r="C765" s="26"/>
      <c r="D765" s="26"/>
      <c r="E765" s="28"/>
      <c r="F765" s="28"/>
    </row>
    <row r="766" customFormat="false" ht="15" hidden="false" customHeight="false" outlineLevel="0" collapsed="false">
      <c r="A766" s="26"/>
      <c r="B766" s="26"/>
      <c r="C766" s="26"/>
      <c r="D766" s="26"/>
      <c r="E766" s="28"/>
      <c r="F766" s="28"/>
    </row>
    <row r="767" customFormat="false" ht="15" hidden="false" customHeight="false" outlineLevel="0" collapsed="false">
      <c r="A767" s="26"/>
      <c r="B767" s="26"/>
      <c r="C767" s="26"/>
      <c r="D767" s="26"/>
      <c r="E767" s="28"/>
      <c r="F767" s="28"/>
    </row>
    <row r="768" customFormat="false" ht="15" hidden="false" customHeight="false" outlineLevel="0" collapsed="false">
      <c r="A768" s="26"/>
      <c r="B768" s="26"/>
      <c r="C768" s="26"/>
      <c r="D768" s="26"/>
      <c r="E768" s="28"/>
      <c r="F768" s="28"/>
    </row>
    <row r="769" customFormat="false" ht="15" hidden="false" customHeight="false" outlineLevel="0" collapsed="false">
      <c r="A769" s="26"/>
      <c r="B769" s="26"/>
      <c r="C769" s="26"/>
      <c r="D769" s="26"/>
      <c r="E769" s="28"/>
      <c r="F769" s="28"/>
    </row>
    <row r="770" customFormat="false" ht="15" hidden="false" customHeight="false" outlineLevel="0" collapsed="false">
      <c r="A770" s="26"/>
      <c r="B770" s="26"/>
      <c r="C770" s="26"/>
      <c r="D770" s="26"/>
      <c r="E770" s="28"/>
      <c r="F770" s="28"/>
    </row>
    <row r="771" customFormat="false" ht="15" hidden="false" customHeight="false" outlineLevel="0" collapsed="false">
      <c r="A771" s="26"/>
      <c r="B771" s="26"/>
      <c r="C771" s="26"/>
      <c r="D771" s="26"/>
      <c r="E771" s="28"/>
      <c r="F771" s="28"/>
    </row>
    <row r="772" customFormat="false" ht="15" hidden="false" customHeight="false" outlineLevel="0" collapsed="false">
      <c r="A772" s="26"/>
      <c r="B772" s="26"/>
      <c r="C772" s="26"/>
      <c r="D772" s="26"/>
      <c r="E772" s="28"/>
      <c r="F772" s="28"/>
    </row>
    <row r="773" customFormat="false" ht="15" hidden="false" customHeight="false" outlineLevel="0" collapsed="false">
      <c r="A773" s="26"/>
      <c r="B773" s="26"/>
      <c r="C773" s="26"/>
      <c r="D773" s="26"/>
      <c r="E773" s="28"/>
      <c r="F773" s="28"/>
    </row>
    <row r="774" customFormat="false" ht="15" hidden="false" customHeight="false" outlineLevel="0" collapsed="false">
      <c r="A774" s="26"/>
      <c r="B774" s="26"/>
      <c r="C774" s="26"/>
      <c r="D774" s="26"/>
      <c r="E774" s="28"/>
      <c r="F774" s="28"/>
    </row>
    <row r="775" customFormat="false" ht="15" hidden="false" customHeight="false" outlineLevel="0" collapsed="false">
      <c r="A775" s="26"/>
      <c r="B775" s="26"/>
      <c r="C775" s="26"/>
      <c r="D775" s="26"/>
      <c r="E775" s="28"/>
      <c r="F775" s="28"/>
    </row>
    <row r="776" customFormat="false" ht="15" hidden="false" customHeight="false" outlineLevel="0" collapsed="false">
      <c r="A776" s="26"/>
      <c r="B776" s="26"/>
      <c r="C776" s="26"/>
      <c r="D776" s="26"/>
      <c r="E776" s="28"/>
      <c r="F776" s="28"/>
    </row>
    <row r="777" customFormat="false" ht="15" hidden="false" customHeight="false" outlineLevel="0" collapsed="false">
      <c r="A777" s="26"/>
      <c r="B777" s="26"/>
      <c r="C777" s="26"/>
      <c r="D777" s="26"/>
      <c r="E777" s="28"/>
      <c r="F777" s="28"/>
    </row>
    <row r="778" customFormat="false" ht="15" hidden="false" customHeight="false" outlineLevel="0" collapsed="false">
      <c r="A778" s="26"/>
      <c r="B778" s="26"/>
      <c r="C778" s="26"/>
      <c r="D778" s="26"/>
      <c r="E778" s="28"/>
      <c r="F778" s="28"/>
    </row>
    <row r="779" customFormat="false" ht="15" hidden="false" customHeight="false" outlineLevel="0" collapsed="false">
      <c r="A779" s="26"/>
      <c r="B779" s="26"/>
      <c r="C779" s="26"/>
      <c r="D779" s="26"/>
      <c r="E779" s="28"/>
      <c r="F779" s="28"/>
    </row>
    <row r="780" customFormat="false" ht="15" hidden="false" customHeight="false" outlineLevel="0" collapsed="false">
      <c r="A780" s="26"/>
      <c r="B780" s="26"/>
      <c r="C780" s="26"/>
      <c r="D780" s="26"/>
      <c r="E780" s="28"/>
      <c r="F780" s="28"/>
    </row>
    <row r="781" customFormat="false" ht="15" hidden="false" customHeight="false" outlineLevel="0" collapsed="false">
      <c r="A781" s="26"/>
      <c r="B781" s="26"/>
      <c r="C781" s="26"/>
      <c r="D781" s="26"/>
      <c r="E781" s="28"/>
      <c r="F781" s="28"/>
    </row>
    <row r="782" customFormat="false" ht="15" hidden="false" customHeight="false" outlineLevel="0" collapsed="false">
      <c r="A782" s="26"/>
      <c r="B782" s="26"/>
      <c r="C782" s="26"/>
      <c r="D782" s="26"/>
      <c r="E782" s="28"/>
      <c r="F782" s="28"/>
    </row>
    <row r="783" customFormat="false" ht="15" hidden="false" customHeight="false" outlineLevel="0" collapsed="false">
      <c r="A783" s="26"/>
      <c r="B783" s="26"/>
      <c r="C783" s="26"/>
      <c r="D783" s="26"/>
      <c r="E783" s="28"/>
      <c r="F783" s="28"/>
    </row>
    <row r="784" customFormat="false" ht="15" hidden="false" customHeight="false" outlineLevel="0" collapsed="false">
      <c r="A784" s="26"/>
      <c r="B784" s="26"/>
      <c r="C784" s="26"/>
      <c r="D784" s="26"/>
      <c r="E784" s="28"/>
      <c r="F784" s="28"/>
    </row>
    <row r="785" customFormat="false" ht="15" hidden="false" customHeight="false" outlineLevel="0" collapsed="false">
      <c r="A785" s="26"/>
      <c r="B785" s="26"/>
      <c r="C785" s="26"/>
      <c r="D785" s="26"/>
      <c r="E785" s="28"/>
      <c r="F785" s="28"/>
    </row>
    <row r="786" customFormat="false" ht="15" hidden="false" customHeight="false" outlineLevel="0" collapsed="false">
      <c r="A786" s="26"/>
      <c r="B786" s="26"/>
      <c r="C786" s="26"/>
      <c r="D786" s="26"/>
      <c r="E786" s="28"/>
      <c r="F786" s="28"/>
    </row>
    <row r="787" customFormat="false" ht="15" hidden="false" customHeight="false" outlineLevel="0" collapsed="false">
      <c r="A787" s="26"/>
      <c r="B787" s="26"/>
      <c r="C787" s="26"/>
      <c r="D787" s="26"/>
      <c r="E787" s="28"/>
      <c r="F787" s="28"/>
    </row>
    <row r="788" customFormat="false" ht="15" hidden="false" customHeight="false" outlineLevel="0" collapsed="false">
      <c r="A788" s="26"/>
      <c r="B788" s="26"/>
      <c r="C788" s="26"/>
      <c r="D788" s="26"/>
      <c r="E788" s="28"/>
      <c r="F788" s="28"/>
    </row>
    <row r="789" customFormat="false" ht="15" hidden="false" customHeight="false" outlineLevel="0" collapsed="false">
      <c r="A789" s="26"/>
      <c r="B789" s="26"/>
      <c r="C789" s="26"/>
      <c r="D789" s="26"/>
      <c r="E789" s="28"/>
      <c r="F789" s="28"/>
    </row>
    <row r="790" customFormat="false" ht="15" hidden="false" customHeight="false" outlineLevel="0" collapsed="false">
      <c r="A790" s="26"/>
      <c r="B790" s="26"/>
      <c r="C790" s="26"/>
      <c r="D790" s="26"/>
      <c r="E790" s="28"/>
      <c r="F790" s="28"/>
    </row>
    <row r="791" customFormat="false" ht="15" hidden="false" customHeight="false" outlineLevel="0" collapsed="false">
      <c r="A791" s="26"/>
      <c r="B791" s="26"/>
      <c r="C791" s="26"/>
      <c r="D791" s="26"/>
      <c r="E791" s="28"/>
      <c r="F791" s="28"/>
    </row>
    <row r="792" customFormat="false" ht="15" hidden="false" customHeight="false" outlineLevel="0" collapsed="false">
      <c r="A792" s="26"/>
      <c r="B792" s="26"/>
      <c r="C792" s="26"/>
      <c r="D792" s="26"/>
      <c r="E792" s="28"/>
      <c r="F792" s="28"/>
    </row>
    <row r="793" customFormat="false" ht="15" hidden="false" customHeight="false" outlineLevel="0" collapsed="false">
      <c r="A793" s="26"/>
      <c r="B793" s="26"/>
      <c r="C793" s="26"/>
      <c r="D793" s="26"/>
      <c r="E793" s="28"/>
      <c r="F793" s="28"/>
    </row>
    <row r="794" customFormat="false" ht="15" hidden="false" customHeight="false" outlineLevel="0" collapsed="false">
      <c r="A794" s="26"/>
      <c r="B794" s="26"/>
      <c r="C794" s="26"/>
      <c r="D794" s="26"/>
      <c r="E794" s="28"/>
      <c r="F794" s="28"/>
    </row>
    <row r="795" customFormat="false" ht="15" hidden="false" customHeight="false" outlineLevel="0" collapsed="false">
      <c r="A795" s="26"/>
      <c r="B795" s="26"/>
      <c r="C795" s="26"/>
      <c r="D795" s="26"/>
      <c r="E795" s="28"/>
      <c r="F795" s="28"/>
    </row>
    <row r="796" customFormat="false" ht="15" hidden="false" customHeight="false" outlineLevel="0" collapsed="false">
      <c r="A796" s="26"/>
      <c r="B796" s="26"/>
      <c r="C796" s="26"/>
      <c r="D796" s="26"/>
      <c r="E796" s="28"/>
      <c r="F796" s="28"/>
    </row>
    <row r="797" customFormat="false" ht="15" hidden="false" customHeight="false" outlineLevel="0" collapsed="false">
      <c r="A797" s="26"/>
      <c r="B797" s="26"/>
      <c r="C797" s="26"/>
      <c r="D797" s="26"/>
      <c r="E797" s="28"/>
      <c r="F797" s="28"/>
    </row>
    <row r="798" customFormat="false" ht="15" hidden="false" customHeight="false" outlineLevel="0" collapsed="false">
      <c r="A798" s="26"/>
      <c r="B798" s="26"/>
      <c r="C798" s="26"/>
      <c r="D798" s="26"/>
      <c r="E798" s="28"/>
      <c r="F798" s="28"/>
    </row>
    <row r="799" customFormat="false" ht="15" hidden="false" customHeight="false" outlineLevel="0" collapsed="false">
      <c r="A799" s="26"/>
      <c r="B799" s="26"/>
      <c r="C799" s="26"/>
      <c r="D799" s="26"/>
      <c r="E799" s="28"/>
      <c r="F799" s="28"/>
    </row>
    <row r="800" customFormat="false" ht="15" hidden="false" customHeight="false" outlineLevel="0" collapsed="false">
      <c r="A800" s="26"/>
      <c r="B800" s="26"/>
      <c r="C800" s="26"/>
      <c r="D800" s="26"/>
      <c r="E800" s="28"/>
      <c r="F800" s="28"/>
    </row>
    <row r="801" customFormat="false" ht="15" hidden="false" customHeight="false" outlineLevel="0" collapsed="false">
      <c r="A801" s="26"/>
      <c r="B801" s="26"/>
      <c r="C801" s="26"/>
      <c r="D801" s="26"/>
      <c r="E801" s="28"/>
      <c r="F801" s="28"/>
    </row>
    <row r="802" customFormat="false" ht="15" hidden="false" customHeight="false" outlineLevel="0" collapsed="false">
      <c r="A802" s="26"/>
      <c r="B802" s="26"/>
      <c r="C802" s="26"/>
      <c r="D802" s="26"/>
      <c r="E802" s="28"/>
      <c r="F802" s="28"/>
    </row>
    <row r="803" customFormat="false" ht="15" hidden="false" customHeight="false" outlineLevel="0" collapsed="false">
      <c r="A803" s="26"/>
      <c r="B803" s="26"/>
      <c r="C803" s="26"/>
      <c r="D803" s="26"/>
      <c r="E803" s="28"/>
      <c r="F803" s="28"/>
    </row>
    <row r="804" customFormat="false" ht="15" hidden="false" customHeight="false" outlineLevel="0" collapsed="false">
      <c r="A804" s="26"/>
      <c r="B804" s="26"/>
      <c r="C804" s="26"/>
      <c r="D804" s="26"/>
      <c r="E804" s="28"/>
      <c r="F804" s="28"/>
    </row>
    <row r="805" customFormat="false" ht="15" hidden="false" customHeight="false" outlineLevel="0" collapsed="false">
      <c r="A805" s="26"/>
      <c r="B805" s="26"/>
      <c r="C805" s="26"/>
      <c r="D805" s="26"/>
      <c r="E805" s="28"/>
      <c r="F805" s="28"/>
    </row>
    <row r="806" customFormat="false" ht="15" hidden="false" customHeight="false" outlineLevel="0" collapsed="false">
      <c r="A806" s="26"/>
      <c r="B806" s="26"/>
      <c r="C806" s="26"/>
      <c r="D806" s="26"/>
      <c r="E806" s="28"/>
      <c r="F806" s="28"/>
    </row>
    <row r="807" customFormat="false" ht="15" hidden="false" customHeight="false" outlineLevel="0" collapsed="false">
      <c r="A807" s="26"/>
      <c r="B807" s="26"/>
      <c r="C807" s="26"/>
      <c r="D807" s="26"/>
      <c r="E807" s="28"/>
      <c r="F807" s="28"/>
    </row>
    <row r="808" customFormat="false" ht="15" hidden="false" customHeight="false" outlineLevel="0" collapsed="false">
      <c r="A808" s="26"/>
      <c r="B808" s="26"/>
      <c r="C808" s="26"/>
      <c r="D808" s="26"/>
      <c r="E808" s="28"/>
      <c r="F808" s="28"/>
    </row>
    <row r="809" customFormat="false" ht="15" hidden="false" customHeight="false" outlineLevel="0" collapsed="false">
      <c r="A809" s="26"/>
      <c r="B809" s="26"/>
      <c r="C809" s="26"/>
      <c r="D809" s="26"/>
      <c r="E809" s="28"/>
      <c r="F809" s="28"/>
    </row>
    <row r="810" customFormat="false" ht="15" hidden="false" customHeight="false" outlineLevel="0" collapsed="false">
      <c r="A810" s="26"/>
      <c r="B810" s="26"/>
      <c r="C810" s="26"/>
      <c r="D810" s="26"/>
      <c r="E810" s="28"/>
      <c r="F810" s="28"/>
    </row>
    <row r="811" customFormat="false" ht="15" hidden="false" customHeight="false" outlineLevel="0" collapsed="false">
      <c r="A811" s="26"/>
      <c r="B811" s="26"/>
      <c r="C811" s="26"/>
      <c r="D811" s="26"/>
      <c r="E811" s="28"/>
      <c r="F811" s="28"/>
    </row>
    <row r="812" customFormat="false" ht="15" hidden="false" customHeight="false" outlineLevel="0" collapsed="false">
      <c r="A812" s="26"/>
      <c r="B812" s="26"/>
      <c r="C812" s="26"/>
      <c r="D812" s="26"/>
      <c r="E812" s="28"/>
      <c r="F812" s="28"/>
    </row>
    <row r="813" customFormat="false" ht="15" hidden="false" customHeight="false" outlineLevel="0" collapsed="false">
      <c r="A813" s="26"/>
      <c r="B813" s="26"/>
      <c r="C813" s="26"/>
      <c r="D813" s="26"/>
      <c r="E813" s="28"/>
      <c r="F813" s="28"/>
    </row>
    <row r="814" customFormat="false" ht="15" hidden="false" customHeight="false" outlineLevel="0" collapsed="false">
      <c r="A814" s="26"/>
      <c r="B814" s="26"/>
      <c r="C814" s="26"/>
      <c r="D814" s="26"/>
      <c r="E814" s="28"/>
      <c r="F814" s="28"/>
    </row>
    <row r="815" customFormat="false" ht="15" hidden="false" customHeight="false" outlineLevel="0" collapsed="false">
      <c r="A815" s="26"/>
      <c r="B815" s="26"/>
      <c r="C815" s="26"/>
      <c r="D815" s="26"/>
      <c r="E815" s="28"/>
      <c r="F815" s="28"/>
    </row>
    <row r="816" customFormat="false" ht="15" hidden="false" customHeight="false" outlineLevel="0" collapsed="false">
      <c r="A816" s="26"/>
      <c r="B816" s="26"/>
      <c r="C816" s="26"/>
      <c r="D816" s="26"/>
      <c r="E816" s="28"/>
      <c r="F816" s="28"/>
    </row>
    <row r="817" customFormat="false" ht="15" hidden="false" customHeight="false" outlineLevel="0" collapsed="false">
      <c r="A817" s="26"/>
      <c r="B817" s="26"/>
      <c r="C817" s="26"/>
      <c r="D817" s="26"/>
      <c r="E817" s="28"/>
      <c r="F817" s="28"/>
    </row>
    <row r="818" customFormat="false" ht="15" hidden="false" customHeight="false" outlineLevel="0" collapsed="false">
      <c r="A818" s="26"/>
      <c r="B818" s="26"/>
      <c r="C818" s="26"/>
      <c r="D818" s="26"/>
      <c r="E818" s="28"/>
      <c r="F818" s="28"/>
    </row>
    <row r="819" customFormat="false" ht="15" hidden="false" customHeight="false" outlineLevel="0" collapsed="false">
      <c r="A819" s="26"/>
      <c r="B819" s="26"/>
      <c r="C819" s="26"/>
      <c r="D819" s="26"/>
      <c r="E819" s="28"/>
      <c r="F819" s="28"/>
    </row>
    <row r="820" customFormat="false" ht="15" hidden="false" customHeight="false" outlineLevel="0" collapsed="false">
      <c r="A820" s="26"/>
      <c r="B820" s="26"/>
      <c r="C820" s="26"/>
      <c r="D820" s="26"/>
      <c r="E820" s="28"/>
      <c r="F820" s="28"/>
    </row>
    <row r="821" customFormat="false" ht="15" hidden="false" customHeight="false" outlineLevel="0" collapsed="false">
      <c r="A821" s="26"/>
      <c r="B821" s="26"/>
      <c r="C821" s="26"/>
      <c r="D821" s="26"/>
      <c r="E821" s="28"/>
      <c r="F821" s="28"/>
    </row>
    <row r="822" customFormat="false" ht="15" hidden="false" customHeight="false" outlineLevel="0" collapsed="false">
      <c r="A822" s="26"/>
      <c r="B822" s="26"/>
      <c r="C822" s="26"/>
      <c r="D822" s="26"/>
      <c r="E822" s="28"/>
      <c r="F822" s="28"/>
    </row>
    <row r="823" customFormat="false" ht="15" hidden="false" customHeight="false" outlineLevel="0" collapsed="false">
      <c r="A823" s="26"/>
      <c r="B823" s="26"/>
      <c r="C823" s="26"/>
      <c r="D823" s="26"/>
      <c r="E823" s="28"/>
      <c r="F823" s="28"/>
    </row>
    <row r="824" customFormat="false" ht="15" hidden="false" customHeight="false" outlineLevel="0" collapsed="false">
      <c r="A824" s="26"/>
      <c r="B824" s="26"/>
      <c r="C824" s="26"/>
      <c r="D824" s="26"/>
      <c r="E824" s="28"/>
      <c r="F824" s="28"/>
    </row>
    <row r="825" customFormat="false" ht="15" hidden="false" customHeight="false" outlineLevel="0" collapsed="false">
      <c r="A825" s="26"/>
      <c r="B825" s="26"/>
      <c r="C825" s="26"/>
      <c r="D825" s="26"/>
      <c r="E825" s="28"/>
      <c r="F825" s="28"/>
    </row>
    <row r="826" customFormat="false" ht="15" hidden="false" customHeight="false" outlineLevel="0" collapsed="false">
      <c r="A826" s="26"/>
      <c r="B826" s="26"/>
      <c r="C826" s="26"/>
      <c r="D826" s="26"/>
      <c r="E826" s="28"/>
      <c r="F826" s="28"/>
    </row>
    <row r="827" customFormat="false" ht="15" hidden="false" customHeight="false" outlineLevel="0" collapsed="false">
      <c r="A827" s="26"/>
      <c r="B827" s="26"/>
      <c r="C827" s="26"/>
      <c r="D827" s="26"/>
      <c r="E827" s="28"/>
      <c r="F827" s="28"/>
    </row>
    <row r="828" customFormat="false" ht="15" hidden="false" customHeight="false" outlineLevel="0" collapsed="false">
      <c r="A828" s="26"/>
      <c r="B828" s="26"/>
      <c r="C828" s="26"/>
      <c r="D828" s="26"/>
      <c r="E828" s="28"/>
      <c r="F828" s="28"/>
    </row>
    <row r="829" customFormat="false" ht="15" hidden="false" customHeight="false" outlineLevel="0" collapsed="false">
      <c r="A829" s="26"/>
      <c r="B829" s="26"/>
      <c r="C829" s="26"/>
      <c r="D829" s="26"/>
      <c r="E829" s="28"/>
      <c r="F829" s="28"/>
    </row>
    <row r="830" customFormat="false" ht="15" hidden="false" customHeight="false" outlineLevel="0" collapsed="false">
      <c r="A830" s="26"/>
      <c r="B830" s="26"/>
      <c r="C830" s="26"/>
      <c r="D830" s="26"/>
      <c r="E830" s="28"/>
      <c r="F830" s="28"/>
    </row>
    <row r="831" customFormat="false" ht="15" hidden="false" customHeight="false" outlineLevel="0" collapsed="false">
      <c r="A831" s="26"/>
      <c r="B831" s="26"/>
      <c r="C831" s="26"/>
      <c r="D831" s="26"/>
      <c r="E831" s="28"/>
      <c r="F831" s="28"/>
    </row>
    <row r="832" customFormat="false" ht="15" hidden="false" customHeight="false" outlineLevel="0" collapsed="false">
      <c r="A832" s="26"/>
      <c r="B832" s="26"/>
      <c r="C832" s="26"/>
      <c r="D832" s="26"/>
      <c r="E832" s="28"/>
      <c r="F832" s="28"/>
    </row>
    <row r="833" customFormat="false" ht="15" hidden="false" customHeight="false" outlineLevel="0" collapsed="false">
      <c r="A833" s="26"/>
      <c r="B833" s="26"/>
      <c r="C833" s="26"/>
      <c r="D833" s="26"/>
      <c r="E833" s="28"/>
      <c r="F833" s="28"/>
    </row>
    <row r="834" customFormat="false" ht="15" hidden="false" customHeight="false" outlineLevel="0" collapsed="false">
      <c r="A834" s="26"/>
      <c r="B834" s="26"/>
      <c r="C834" s="26"/>
      <c r="D834" s="26"/>
      <c r="E834" s="28"/>
      <c r="F834" s="28"/>
    </row>
    <row r="835" customFormat="false" ht="15" hidden="false" customHeight="false" outlineLevel="0" collapsed="false">
      <c r="A835" s="26"/>
      <c r="B835" s="26"/>
      <c r="C835" s="26"/>
      <c r="D835" s="26"/>
      <c r="E835" s="28"/>
      <c r="F835" s="28"/>
    </row>
    <row r="836" customFormat="false" ht="15" hidden="false" customHeight="false" outlineLevel="0" collapsed="false">
      <c r="A836" s="26"/>
      <c r="B836" s="26"/>
      <c r="C836" s="26"/>
      <c r="D836" s="26"/>
      <c r="E836" s="28"/>
      <c r="F836" s="28"/>
    </row>
    <row r="837" customFormat="false" ht="15" hidden="false" customHeight="false" outlineLevel="0" collapsed="false">
      <c r="A837" s="26"/>
      <c r="B837" s="26"/>
      <c r="C837" s="26"/>
      <c r="D837" s="26"/>
      <c r="E837" s="28"/>
      <c r="F837" s="28"/>
    </row>
    <row r="838" customFormat="false" ht="15" hidden="false" customHeight="false" outlineLevel="0" collapsed="false">
      <c r="A838" s="26"/>
      <c r="B838" s="26"/>
      <c r="C838" s="26"/>
      <c r="D838" s="26"/>
      <c r="E838" s="28"/>
      <c r="F838" s="28"/>
    </row>
    <row r="839" customFormat="false" ht="15" hidden="false" customHeight="false" outlineLevel="0" collapsed="false">
      <c r="A839" s="26"/>
      <c r="B839" s="26"/>
      <c r="C839" s="26"/>
      <c r="D839" s="26"/>
      <c r="E839" s="28"/>
      <c r="F839" s="28"/>
    </row>
    <row r="840" customFormat="false" ht="15" hidden="false" customHeight="false" outlineLevel="0" collapsed="false">
      <c r="A840" s="26"/>
      <c r="B840" s="26"/>
      <c r="C840" s="26"/>
      <c r="D840" s="26"/>
      <c r="E840" s="28"/>
      <c r="F840" s="28"/>
    </row>
    <row r="841" customFormat="false" ht="15" hidden="false" customHeight="false" outlineLevel="0" collapsed="false">
      <c r="A841" s="26"/>
      <c r="B841" s="26"/>
      <c r="C841" s="26"/>
      <c r="D841" s="26"/>
      <c r="E841" s="28"/>
      <c r="F841" s="28"/>
    </row>
    <row r="842" customFormat="false" ht="15" hidden="false" customHeight="false" outlineLevel="0" collapsed="false">
      <c r="A842" s="26"/>
      <c r="B842" s="26"/>
      <c r="C842" s="26"/>
      <c r="D842" s="26"/>
      <c r="E842" s="28"/>
      <c r="F842" s="28"/>
    </row>
    <row r="843" customFormat="false" ht="15" hidden="false" customHeight="false" outlineLevel="0" collapsed="false">
      <c r="A843" s="26"/>
      <c r="B843" s="26"/>
      <c r="C843" s="26"/>
      <c r="D843" s="26"/>
      <c r="E843" s="28"/>
      <c r="F843" s="28"/>
    </row>
    <row r="844" customFormat="false" ht="15" hidden="false" customHeight="false" outlineLevel="0" collapsed="false">
      <c r="A844" s="26"/>
      <c r="B844" s="26"/>
      <c r="C844" s="26"/>
      <c r="D844" s="26"/>
      <c r="E844" s="28"/>
      <c r="F844" s="28"/>
    </row>
    <row r="845" customFormat="false" ht="15" hidden="false" customHeight="false" outlineLevel="0" collapsed="false">
      <c r="A845" s="26"/>
      <c r="B845" s="26"/>
      <c r="C845" s="26"/>
      <c r="D845" s="26"/>
      <c r="E845" s="28"/>
      <c r="F845" s="28"/>
    </row>
    <row r="846" customFormat="false" ht="15" hidden="false" customHeight="false" outlineLevel="0" collapsed="false">
      <c r="A846" s="26"/>
      <c r="B846" s="26"/>
      <c r="C846" s="26"/>
      <c r="D846" s="26"/>
      <c r="E846" s="28"/>
      <c r="F846" s="28"/>
    </row>
    <row r="847" customFormat="false" ht="15" hidden="false" customHeight="false" outlineLevel="0" collapsed="false">
      <c r="A847" s="26"/>
      <c r="B847" s="26"/>
      <c r="C847" s="26"/>
      <c r="D847" s="26"/>
      <c r="E847" s="28"/>
      <c r="F847" s="28"/>
    </row>
    <row r="848" customFormat="false" ht="15" hidden="false" customHeight="false" outlineLevel="0" collapsed="false">
      <c r="A848" s="26"/>
      <c r="B848" s="26"/>
      <c r="C848" s="26"/>
      <c r="D848" s="26"/>
      <c r="E848" s="28"/>
      <c r="F848" s="28"/>
    </row>
    <row r="849" customFormat="false" ht="15" hidden="false" customHeight="false" outlineLevel="0" collapsed="false">
      <c r="A849" s="26"/>
      <c r="B849" s="26"/>
      <c r="C849" s="26"/>
      <c r="D849" s="26"/>
      <c r="E849" s="28"/>
      <c r="F849" s="28"/>
    </row>
    <row r="850" customFormat="false" ht="15" hidden="false" customHeight="false" outlineLevel="0" collapsed="false">
      <c r="A850" s="26"/>
      <c r="B850" s="26"/>
      <c r="C850" s="26"/>
      <c r="D850" s="26"/>
      <c r="E850" s="28"/>
      <c r="F850" s="28"/>
    </row>
    <row r="851" customFormat="false" ht="15" hidden="false" customHeight="false" outlineLevel="0" collapsed="false">
      <c r="A851" s="26"/>
      <c r="B851" s="26"/>
      <c r="C851" s="26"/>
      <c r="D851" s="26"/>
      <c r="E851" s="28"/>
      <c r="F851" s="28"/>
    </row>
    <row r="852" customFormat="false" ht="15" hidden="false" customHeight="false" outlineLevel="0" collapsed="false">
      <c r="A852" s="26"/>
      <c r="B852" s="26"/>
      <c r="C852" s="26"/>
      <c r="D852" s="26"/>
      <c r="E852" s="28"/>
      <c r="F852" s="28"/>
    </row>
    <row r="853" customFormat="false" ht="15" hidden="false" customHeight="false" outlineLevel="0" collapsed="false">
      <c r="A853" s="26"/>
      <c r="B853" s="26"/>
      <c r="C853" s="26"/>
      <c r="D853" s="26"/>
      <c r="E853" s="28"/>
      <c r="F853" s="28"/>
    </row>
    <row r="854" customFormat="false" ht="15" hidden="false" customHeight="false" outlineLevel="0" collapsed="false">
      <c r="A854" s="26"/>
      <c r="B854" s="26"/>
      <c r="C854" s="26"/>
      <c r="D854" s="26"/>
      <c r="E854" s="28"/>
      <c r="F854" s="28"/>
    </row>
    <row r="855" customFormat="false" ht="15" hidden="false" customHeight="false" outlineLevel="0" collapsed="false">
      <c r="A855" s="26"/>
      <c r="B855" s="26"/>
      <c r="C855" s="26"/>
      <c r="D855" s="26"/>
      <c r="E855" s="28"/>
      <c r="F855" s="28"/>
    </row>
    <row r="856" customFormat="false" ht="15" hidden="false" customHeight="false" outlineLevel="0" collapsed="false">
      <c r="A856" s="26"/>
      <c r="B856" s="26"/>
      <c r="C856" s="26"/>
      <c r="D856" s="26"/>
      <c r="E856" s="28"/>
      <c r="F856" s="28"/>
    </row>
    <row r="857" customFormat="false" ht="15" hidden="false" customHeight="false" outlineLevel="0" collapsed="false">
      <c r="A857" s="26"/>
      <c r="B857" s="26"/>
      <c r="C857" s="26"/>
      <c r="D857" s="26"/>
      <c r="E857" s="28"/>
      <c r="F857" s="28"/>
    </row>
    <row r="858" customFormat="false" ht="15" hidden="false" customHeight="false" outlineLevel="0" collapsed="false">
      <c r="A858" s="26"/>
      <c r="B858" s="26"/>
      <c r="C858" s="26"/>
      <c r="D858" s="26"/>
      <c r="E858" s="28"/>
      <c r="F858" s="28"/>
    </row>
    <row r="859" customFormat="false" ht="15" hidden="false" customHeight="false" outlineLevel="0" collapsed="false">
      <c r="A859" s="26"/>
      <c r="B859" s="26"/>
      <c r="C859" s="26"/>
      <c r="D859" s="26"/>
      <c r="E859" s="28"/>
      <c r="F859" s="28"/>
    </row>
    <row r="860" customFormat="false" ht="15" hidden="false" customHeight="false" outlineLevel="0" collapsed="false">
      <c r="A860" s="26"/>
      <c r="B860" s="26"/>
      <c r="C860" s="26"/>
      <c r="D860" s="26"/>
      <c r="E860" s="28"/>
      <c r="F860" s="28"/>
    </row>
    <row r="861" customFormat="false" ht="15" hidden="false" customHeight="false" outlineLevel="0" collapsed="false">
      <c r="A861" s="26"/>
      <c r="B861" s="26"/>
      <c r="C861" s="26"/>
      <c r="D861" s="26"/>
      <c r="E861" s="28"/>
      <c r="F861" s="28"/>
    </row>
    <row r="862" customFormat="false" ht="15" hidden="false" customHeight="false" outlineLevel="0" collapsed="false">
      <c r="A862" s="26"/>
      <c r="B862" s="26"/>
      <c r="C862" s="26"/>
      <c r="D862" s="26"/>
      <c r="E862" s="28"/>
      <c r="F862" s="28"/>
    </row>
    <row r="863" customFormat="false" ht="15" hidden="false" customHeight="false" outlineLevel="0" collapsed="false">
      <c r="A863" s="26"/>
      <c r="B863" s="26"/>
      <c r="C863" s="26"/>
      <c r="D863" s="26"/>
      <c r="E863" s="28"/>
      <c r="F863" s="28"/>
    </row>
    <row r="864" customFormat="false" ht="15" hidden="false" customHeight="false" outlineLevel="0" collapsed="false">
      <c r="A864" s="26"/>
      <c r="B864" s="26"/>
      <c r="C864" s="26"/>
      <c r="D864" s="26"/>
      <c r="E864" s="28"/>
      <c r="F864" s="28"/>
    </row>
    <row r="865" customFormat="false" ht="15" hidden="false" customHeight="false" outlineLevel="0" collapsed="false">
      <c r="A865" s="26"/>
      <c r="B865" s="26"/>
      <c r="C865" s="26"/>
      <c r="D865" s="26"/>
      <c r="E865" s="28"/>
      <c r="F865" s="28"/>
    </row>
    <row r="866" customFormat="false" ht="15" hidden="false" customHeight="false" outlineLevel="0" collapsed="false">
      <c r="A866" s="26"/>
      <c r="B866" s="26"/>
      <c r="C866" s="26"/>
      <c r="D866" s="26"/>
      <c r="E866" s="28"/>
      <c r="F866" s="28"/>
    </row>
    <row r="867" customFormat="false" ht="15" hidden="false" customHeight="false" outlineLevel="0" collapsed="false">
      <c r="A867" s="26"/>
      <c r="B867" s="26"/>
      <c r="C867" s="26"/>
      <c r="D867" s="26"/>
      <c r="E867" s="28"/>
      <c r="F867" s="28"/>
    </row>
    <row r="868" customFormat="false" ht="15" hidden="false" customHeight="false" outlineLevel="0" collapsed="false">
      <c r="A868" s="26"/>
      <c r="B868" s="26"/>
      <c r="C868" s="26"/>
      <c r="D868" s="26"/>
      <c r="E868" s="28"/>
      <c r="F868" s="28"/>
    </row>
    <row r="869" customFormat="false" ht="15" hidden="false" customHeight="false" outlineLevel="0" collapsed="false">
      <c r="A869" s="26"/>
      <c r="B869" s="26"/>
      <c r="C869" s="26"/>
      <c r="D869" s="26"/>
      <c r="E869" s="28"/>
      <c r="F869" s="28"/>
    </row>
    <row r="870" customFormat="false" ht="15" hidden="false" customHeight="false" outlineLevel="0" collapsed="false">
      <c r="A870" s="26"/>
      <c r="B870" s="26"/>
      <c r="C870" s="26"/>
      <c r="D870" s="26"/>
      <c r="E870" s="28"/>
      <c r="F870" s="28"/>
    </row>
    <row r="871" customFormat="false" ht="15" hidden="false" customHeight="false" outlineLevel="0" collapsed="false">
      <c r="A871" s="26"/>
      <c r="B871" s="26"/>
      <c r="C871" s="26"/>
      <c r="D871" s="26"/>
      <c r="E871" s="28"/>
      <c r="F871" s="28"/>
    </row>
    <row r="872" customFormat="false" ht="15" hidden="false" customHeight="false" outlineLevel="0" collapsed="false">
      <c r="A872" s="26"/>
      <c r="B872" s="26"/>
      <c r="C872" s="26"/>
      <c r="D872" s="26"/>
      <c r="E872" s="28"/>
      <c r="F872" s="28"/>
    </row>
    <row r="873" customFormat="false" ht="15" hidden="false" customHeight="false" outlineLevel="0" collapsed="false">
      <c r="A873" s="26"/>
      <c r="B873" s="26"/>
      <c r="C873" s="26"/>
      <c r="D873" s="26"/>
      <c r="E873" s="28"/>
      <c r="F873" s="28"/>
    </row>
    <row r="874" customFormat="false" ht="15" hidden="false" customHeight="false" outlineLevel="0" collapsed="false">
      <c r="A874" s="26"/>
      <c r="B874" s="26"/>
      <c r="C874" s="26"/>
      <c r="D874" s="26"/>
      <c r="E874" s="28"/>
      <c r="F874" s="28"/>
    </row>
    <row r="875" customFormat="false" ht="15" hidden="false" customHeight="false" outlineLevel="0" collapsed="false">
      <c r="A875" s="26"/>
      <c r="B875" s="26"/>
      <c r="C875" s="26"/>
      <c r="D875" s="26"/>
      <c r="E875" s="28"/>
      <c r="F875" s="28"/>
    </row>
    <row r="876" customFormat="false" ht="15" hidden="false" customHeight="false" outlineLevel="0" collapsed="false">
      <c r="A876" s="26"/>
      <c r="B876" s="26"/>
      <c r="C876" s="26"/>
      <c r="D876" s="26"/>
      <c r="E876" s="28"/>
      <c r="F876" s="28"/>
    </row>
    <row r="877" customFormat="false" ht="15" hidden="false" customHeight="false" outlineLevel="0" collapsed="false">
      <c r="A877" s="26"/>
      <c r="B877" s="26"/>
      <c r="C877" s="26"/>
      <c r="D877" s="26"/>
      <c r="E877" s="28"/>
      <c r="F877" s="28"/>
    </row>
    <row r="878" customFormat="false" ht="15" hidden="false" customHeight="false" outlineLevel="0" collapsed="false">
      <c r="A878" s="26"/>
      <c r="B878" s="26"/>
      <c r="C878" s="26"/>
      <c r="D878" s="26"/>
      <c r="E878" s="28"/>
      <c r="F878" s="28"/>
    </row>
    <row r="879" customFormat="false" ht="15" hidden="false" customHeight="false" outlineLevel="0" collapsed="false">
      <c r="A879" s="26"/>
      <c r="B879" s="26"/>
      <c r="C879" s="26"/>
      <c r="D879" s="26"/>
      <c r="E879" s="28"/>
      <c r="F879" s="28"/>
    </row>
    <row r="880" customFormat="false" ht="15" hidden="false" customHeight="false" outlineLevel="0" collapsed="false">
      <c r="A880" s="26"/>
      <c r="B880" s="26"/>
      <c r="C880" s="26"/>
      <c r="D880" s="26"/>
      <c r="E880" s="28"/>
      <c r="F880" s="28"/>
    </row>
    <row r="881" customFormat="false" ht="15" hidden="false" customHeight="false" outlineLevel="0" collapsed="false">
      <c r="A881" s="26"/>
      <c r="B881" s="26"/>
      <c r="C881" s="26"/>
      <c r="D881" s="26"/>
      <c r="E881" s="28"/>
      <c r="F881" s="28"/>
    </row>
    <row r="882" customFormat="false" ht="15" hidden="false" customHeight="false" outlineLevel="0" collapsed="false">
      <c r="A882" s="26"/>
      <c r="B882" s="26"/>
      <c r="C882" s="26"/>
      <c r="D882" s="26"/>
      <c r="E882" s="28"/>
      <c r="F882" s="28"/>
    </row>
    <row r="883" customFormat="false" ht="15" hidden="false" customHeight="false" outlineLevel="0" collapsed="false">
      <c r="A883" s="26"/>
      <c r="B883" s="26"/>
      <c r="C883" s="26"/>
      <c r="D883" s="26"/>
      <c r="E883" s="28"/>
      <c r="F883" s="28"/>
    </row>
    <row r="884" customFormat="false" ht="15" hidden="false" customHeight="false" outlineLevel="0" collapsed="false">
      <c r="A884" s="26"/>
      <c r="B884" s="26"/>
      <c r="C884" s="26"/>
      <c r="D884" s="26"/>
      <c r="E884" s="28"/>
      <c r="F884" s="28"/>
    </row>
    <row r="885" customFormat="false" ht="15" hidden="false" customHeight="false" outlineLevel="0" collapsed="false">
      <c r="A885" s="26"/>
      <c r="B885" s="26"/>
      <c r="C885" s="26"/>
      <c r="D885" s="26"/>
      <c r="E885" s="28"/>
      <c r="F885" s="28"/>
    </row>
    <row r="886" customFormat="false" ht="15" hidden="false" customHeight="false" outlineLevel="0" collapsed="false">
      <c r="A886" s="26"/>
      <c r="B886" s="26"/>
      <c r="C886" s="26"/>
      <c r="D886" s="26"/>
      <c r="E886" s="28"/>
      <c r="F886" s="28"/>
    </row>
    <row r="887" customFormat="false" ht="15" hidden="false" customHeight="false" outlineLevel="0" collapsed="false">
      <c r="A887" s="26"/>
      <c r="B887" s="26"/>
      <c r="C887" s="26"/>
      <c r="D887" s="26"/>
      <c r="E887" s="28"/>
      <c r="F887" s="28"/>
    </row>
    <row r="888" customFormat="false" ht="15" hidden="false" customHeight="false" outlineLevel="0" collapsed="false">
      <c r="A888" s="26"/>
      <c r="B888" s="26"/>
      <c r="C888" s="26"/>
      <c r="D888" s="26"/>
      <c r="E888" s="28"/>
      <c r="F888" s="28"/>
    </row>
    <row r="889" customFormat="false" ht="15" hidden="false" customHeight="false" outlineLevel="0" collapsed="false">
      <c r="A889" s="26"/>
      <c r="B889" s="26"/>
      <c r="C889" s="26"/>
      <c r="D889" s="26"/>
      <c r="E889" s="28"/>
      <c r="F889" s="28"/>
    </row>
    <row r="890" customFormat="false" ht="15" hidden="false" customHeight="false" outlineLevel="0" collapsed="false">
      <c r="A890" s="26"/>
      <c r="B890" s="26"/>
      <c r="C890" s="26"/>
      <c r="D890" s="26"/>
      <c r="E890" s="28"/>
      <c r="F890" s="28"/>
    </row>
    <row r="891" customFormat="false" ht="15" hidden="false" customHeight="false" outlineLevel="0" collapsed="false">
      <c r="A891" s="26"/>
      <c r="B891" s="26"/>
      <c r="C891" s="26"/>
      <c r="D891" s="26"/>
      <c r="E891" s="28"/>
      <c r="F891" s="28"/>
    </row>
    <row r="892" customFormat="false" ht="15" hidden="false" customHeight="false" outlineLevel="0" collapsed="false">
      <c r="A892" s="26"/>
      <c r="B892" s="26"/>
      <c r="C892" s="26"/>
      <c r="D892" s="26"/>
      <c r="E892" s="28"/>
      <c r="F892" s="28"/>
    </row>
    <row r="893" customFormat="false" ht="15" hidden="false" customHeight="false" outlineLevel="0" collapsed="false">
      <c r="A893" s="26"/>
      <c r="B893" s="26"/>
      <c r="C893" s="26"/>
      <c r="D893" s="26"/>
      <c r="E893" s="28"/>
      <c r="F893" s="28"/>
    </row>
    <row r="894" customFormat="false" ht="15" hidden="false" customHeight="false" outlineLevel="0" collapsed="false">
      <c r="A894" s="26"/>
      <c r="B894" s="26"/>
      <c r="C894" s="26"/>
      <c r="D894" s="26"/>
      <c r="E894" s="28"/>
      <c r="F894" s="28"/>
    </row>
    <row r="895" customFormat="false" ht="15" hidden="false" customHeight="false" outlineLevel="0" collapsed="false">
      <c r="A895" s="26"/>
      <c r="B895" s="26"/>
      <c r="C895" s="26"/>
      <c r="D895" s="26"/>
      <c r="E895" s="28"/>
      <c r="F895" s="28"/>
    </row>
    <row r="896" customFormat="false" ht="15" hidden="false" customHeight="false" outlineLevel="0" collapsed="false">
      <c r="A896" s="26"/>
      <c r="B896" s="26"/>
      <c r="C896" s="26"/>
      <c r="D896" s="26"/>
      <c r="E896" s="28"/>
      <c r="F896" s="28"/>
    </row>
    <row r="897" customFormat="false" ht="15" hidden="false" customHeight="false" outlineLevel="0" collapsed="false">
      <c r="A897" s="26"/>
      <c r="B897" s="26"/>
      <c r="C897" s="26"/>
      <c r="D897" s="26"/>
      <c r="E897" s="28"/>
      <c r="F897" s="28"/>
    </row>
    <row r="898" customFormat="false" ht="15" hidden="false" customHeight="false" outlineLevel="0" collapsed="false">
      <c r="A898" s="26"/>
      <c r="B898" s="26"/>
      <c r="C898" s="26"/>
      <c r="D898" s="26"/>
      <c r="E898" s="28"/>
      <c r="F898" s="28"/>
    </row>
    <row r="899" customFormat="false" ht="15" hidden="false" customHeight="false" outlineLevel="0" collapsed="false">
      <c r="A899" s="26"/>
      <c r="B899" s="26"/>
      <c r="C899" s="26"/>
      <c r="D899" s="26"/>
      <c r="E899" s="28"/>
      <c r="F899" s="28"/>
    </row>
    <row r="900" customFormat="false" ht="15" hidden="false" customHeight="false" outlineLevel="0" collapsed="false">
      <c r="A900" s="26"/>
      <c r="B900" s="26"/>
      <c r="C900" s="26"/>
      <c r="D900" s="26"/>
      <c r="E900" s="28"/>
      <c r="F900" s="28"/>
    </row>
    <row r="901" customFormat="false" ht="15" hidden="false" customHeight="false" outlineLevel="0" collapsed="false">
      <c r="A901" s="26"/>
      <c r="B901" s="26"/>
      <c r="C901" s="26"/>
      <c r="D901" s="26"/>
      <c r="E901" s="28"/>
      <c r="F901" s="28"/>
    </row>
    <row r="902" customFormat="false" ht="15" hidden="false" customHeight="false" outlineLevel="0" collapsed="false">
      <c r="A902" s="26"/>
      <c r="B902" s="26"/>
      <c r="C902" s="26"/>
      <c r="D902" s="26"/>
      <c r="E902" s="28"/>
      <c r="F902" s="28"/>
    </row>
    <row r="903" customFormat="false" ht="15" hidden="false" customHeight="false" outlineLevel="0" collapsed="false">
      <c r="A903" s="26"/>
      <c r="B903" s="26"/>
      <c r="C903" s="26"/>
      <c r="D903" s="26"/>
      <c r="E903" s="28"/>
      <c r="F903" s="28"/>
    </row>
    <row r="904" customFormat="false" ht="15" hidden="false" customHeight="false" outlineLevel="0" collapsed="false">
      <c r="A904" s="26"/>
      <c r="B904" s="26"/>
      <c r="C904" s="26"/>
      <c r="D904" s="26"/>
      <c r="E904" s="28"/>
      <c r="F904" s="28"/>
    </row>
    <row r="905" customFormat="false" ht="15" hidden="false" customHeight="false" outlineLevel="0" collapsed="false">
      <c r="A905" s="26"/>
      <c r="B905" s="26"/>
      <c r="C905" s="26"/>
      <c r="D905" s="26"/>
      <c r="E905" s="28"/>
      <c r="F905" s="28"/>
    </row>
    <row r="906" customFormat="false" ht="15" hidden="false" customHeight="false" outlineLevel="0" collapsed="false">
      <c r="A906" s="26"/>
      <c r="B906" s="26"/>
      <c r="C906" s="26"/>
      <c r="D906" s="26"/>
      <c r="E906" s="28"/>
      <c r="F906" s="28"/>
    </row>
    <row r="907" customFormat="false" ht="15" hidden="false" customHeight="false" outlineLevel="0" collapsed="false">
      <c r="A907" s="26"/>
      <c r="B907" s="26"/>
      <c r="C907" s="26"/>
      <c r="D907" s="26"/>
      <c r="E907" s="28"/>
      <c r="F907" s="28"/>
    </row>
    <row r="908" customFormat="false" ht="15" hidden="false" customHeight="false" outlineLevel="0" collapsed="false">
      <c r="A908" s="26"/>
      <c r="B908" s="26"/>
      <c r="C908" s="26"/>
      <c r="D908" s="26"/>
      <c r="E908" s="28"/>
      <c r="F908" s="28"/>
    </row>
    <row r="909" customFormat="false" ht="15" hidden="false" customHeight="false" outlineLevel="0" collapsed="false">
      <c r="A909" s="26"/>
      <c r="B909" s="26"/>
      <c r="C909" s="26"/>
      <c r="D909" s="26"/>
      <c r="E909" s="28"/>
      <c r="F909" s="28"/>
    </row>
    <row r="910" customFormat="false" ht="15" hidden="false" customHeight="false" outlineLevel="0" collapsed="false">
      <c r="A910" s="26"/>
      <c r="B910" s="26"/>
      <c r="C910" s="26"/>
      <c r="D910" s="26"/>
      <c r="E910" s="28"/>
      <c r="F910" s="28"/>
    </row>
    <row r="911" customFormat="false" ht="15" hidden="false" customHeight="false" outlineLevel="0" collapsed="false">
      <c r="A911" s="26"/>
      <c r="B911" s="26"/>
      <c r="C911" s="26"/>
      <c r="D911" s="26"/>
      <c r="E911" s="28"/>
      <c r="F911" s="28"/>
    </row>
    <row r="912" customFormat="false" ht="15" hidden="false" customHeight="false" outlineLevel="0" collapsed="false">
      <c r="A912" s="26"/>
      <c r="B912" s="26"/>
      <c r="C912" s="26"/>
      <c r="D912" s="26"/>
      <c r="E912" s="28"/>
      <c r="F912" s="28"/>
    </row>
    <row r="913" customFormat="false" ht="15" hidden="false" customHeight="false" outlineLevel="0" collapsed="false">
      <c r="A913" s="26"/>
      <c r="B913" s="26"/>
      <c r="C913" s="26"/>
      <c r="D913" s="26"/>
      <c r="E913" s="28"/>
      <c r="F913" s="28"/>
    </row>
    <row r="914" customFormat="false" ht="15" hidden="false" customHeight="false" outlineLevel="0" collapsed="false">
      <c r="A914" s="26"/>
      <c r="B914" s="26"/>
      <c r="C914" s="26"/>
      <c r="D914" s="26"/>
      <c r="E914" s="28"/>
      <c r="F914" s="28"/>
    </row>
    <row r="915" customFormat="false" ht="15" hidden="false" customHeight="false" outlineLevel="0" collapsed="false">
      <c r="A915" s="26"/>
      <c r="B915" s="26"/>
      <c r="C915" s="26"/>
      <c r="D915" s="26"/>
      <c r="E915" s="28"/>
      <c r="F915" s="28"/>
    </row>
    <row r="916" customFormat="false" ht="15" hidden="false" customHeight="false" outlineLevel="0" collapsed="false">
      <c r="A916" s="26"/>
      <c r="B916" s="26"/>
      <c r="C916" s="26"/>
      <c r="D916" s="26"/>
      <c r="E916" s="28"/>
      <c r="F916" s="28"/>
    </row>
    <row r="917" customFormat="false" ht="15" hidden="false" customHeight="false" outlineLevel="0" collapsed="false">
      <c r="A917" s="26"/>
      <c r="B917" s="26"/>
      <c r="C917" s="26"/>
      <c r="D917" s="26"/>
      <c r="E917" s="28"/>
      <c r="F917" s="28"/>
    </row>
    <row r="918" customFormat="false" ht="15" hidden="false" customHeight="false" outlineLevel="0" collapsed="false">
      <c r="A918" s="26"/>
      <c r="B918" s="26"/>
      <c r="C918" s="26"/>
      <c r="D918" s="26"/>
      <c r="E918" s="28"/>
      <c r="F918" s="28"/>
    </row>
    <row r="919" customFormat="false" ht="15" hidden="false" customHeight="false" outlineLevel="0" collapsed="false">
      <c r="A919" s="26"/>
      <c r="B919" s="26"/>
      <c r="C919" s="26"/>
      <c r="D919" s="26"/>
      <c r="E919" s="28"/>
      <c r="F919" s="28"/>
    </row>
    <row r="920" customFormat="false" ht="15" hidden="false" customHeight="false" outlineLevel="0" collapsed="false">
      <c r="A920" s="26"/>
      <c r="B920" s="26"/>
      <c r="C920" s="26"/>
      <c r="D920" s="26"/>
      <c r="E920" s="28"/>
      <c r="F920" s="28"/>
    </row>
    <row r="921" customFormat="false" ht="15" hidden="false" customHeight="false" outlineLevel="0" collapsed="false">
      <c r="A921" s="26"/>
      <c r="B921" s="26"/>
      <c r="C921" s="26"/>
      <c r="D921" s="26"/>
      <c r="E921" s="28"/>
      <c r="F921" s="28"/>
    </row>
    <row r="922" customFormat="false" ht="15" hidden="false" customHeight="false" outlineLevel="0" collapsed="false">
      <c r="A922" s="26"/>
      <c r="B922" s="26"/>
      <c r="C922" s="26"/>
      <c r="D922" s="26"/>
      <c r="E922" s="28"/>
      <c r="F922" s="28"/>
    </row>
    <row r="923" customFormat="false" ht="15" hidden="false" customHeight="false" outlineLevel="0" collapsed="false">
      <c r="A923" s="26"/>
      <c r="B923" s="26"/>
      <c r="C923" s="26"/>
      <c r="D923" s="26"/>
      <c r="E923" s="28"/>
      <c r="F923" s="28"/>
    </row>
    <row r="924" customFormat="false" ht="15" hidden="false" customHeight="false" outlineLevel="0" collapsed="false">
      <c r="A924" s="26"/>
      <c r="B924" s="26"/>
      <c r="C924" s="26"/>
      <c r="D924" s="26"/>
      <c r="E924" s="28"/>
      <c r="F924" s="28"/>
    </row>
    <row r="925" customFormat="false" ht="15" hidden="false" customHeight="false" outlineLevel="0" collapsed="false">
      <c r="A925" s="26"/>
      <c r="B925" s="26"/>
      <c r="C925" s="26"/>
      <c r="D925" s="26"/>
      <c r="E925" s="28"/>
      <c r="F925" s="28"/>
    </row>
    <row r="926" customFormat="false" ht="15" hidden="false" customHeight="false" outlineLevel="0" collapsed="false">
      <c r="A926" s="26"/>
      <c r="B926" s="26"/>
      <c r="C926" s="26"/>
      <c r="D926" s="26"/>
      <c r="E926" s="28"/>
      <c r="F926" s="28"/>
    </row>
    <row r="927" customFormat="false" ht="15" hidden="false" customHeight="false" outlineLevel="0" collapsed="false">
      <c r="A927" s="26"/>
      <c r="B927" s="26"/>
      <c r="C927" s="26"/>
      <c r="D927" s="26"/>
      <c r="E927" s="28"/>
      <c r="F927" s="28"/>
    </row>
    <row r="928" customFormat="false" ht="15" hidden="false" customHeight="false" outlineLevel="0" collapsed="false">
      <c r="A928" s="26"/>
      <c r="B928" s="26"/>
      <c r="C928" s="26"/>
      <c r="D928" s="26"/>
      <c r="E928" s="28"/>
      <c r="F928" s="28"/>
    </row>
    <row r="929" customFormat="false" ht="15" hidden="false" customHeight="false" outlineLevel="0" collapsed="false">
      <c r="A929" s="26"/>
      <c r="B929" s="26"/>
      <c r="C929" s="26"/>
      <c r="D929" s="26"/>
      <c r="E929" s="28"/>
      <c r="F929" s="28"/>
    </row>
    <row r="930" customFormat="false" ht="15" hidden="false" customHeight="false" outlineLevel="0" collapsed="false">
      <c r="A930" s="26"/>
      <c r="B930" s="26"/>
      <c r="C930" s="26"/>
      <c r="D930" s="26"/>
      <c r="E930" s="28"/>
      <c r="F930" s="28"/>
    </row>
    <row r="931" customFormat="false" ht="15" hidden="false" customHeight="false" outlineLevel="0" collapsed="false">
      <c r="A931" s="26"/>
      <c r="B931" s="26"/>
      <c r="C931" s="26"/>
      <c r="D931" s="26"/>
      <c r="E931" s="28"/>
      <c r="F931" s="28"/>
    </row>
    <row r="932" customFormat="false" ht="15" hidden="false" customHeight="false" outlineLevel="0" collapsed="false">
      <c r="A932" s="26"/>
      <c r="B932" s="26"/>
      <c r="C932" s="26"/>
      <c r="D932" s="26"/>
      <c r="E932" s="28"/>
      <c r="F932" s="28"/>
    </row>
    <row r="933" customFormat="false" ht="15" hidden="false" customHeight="false" outlineLevel="0" collapsed="false">
      <c r="A933" s="26"/>
      <c r="B933" s="26"/>
      <c r="C933" s="26"/>
      <c r="D933" s="26"/>
      <c r="E933" s="28"/>
      <c r="F933" s="28"/>
    </row>
    <row r="934" customFormat="false" ht="15" hidden="false" customHeight="false" outlineLevel="0" collapsed="false">
      <c r="A934" s="26"/>
      <c r="B934" s="26"/>
      <c r="C934" s="26"/>
      <c r="D934" s="26"/>
      <c r="E934" s="28"/>
      <c r="F934" s="28"/>
    </row>
    <row r="935" customFormat="false" ht="15" hidden="false" customHeight="false" outlineLevel="0" collapsed="false">
      <c r="A935" s="26"/>
      <c r="B935" s="26"/>
      <c r="C935" s="26"/>
      <c r="D935" s="26"/>
      <c r="E935" s="28"/>
      <c r="F935" s="28"/>
    </row>
    <row r="936" customFormat="false" ht="15" hidden="false" customHeight="false" outlineLevel="0" collapsed="false">
      <c r="A936" s="26"/>
      <c r="B936" s="26"/>
      <c r="C936" s="26"/>
      <c r="D936" s="26"/>
      <c r="E936" s="28"/>
      <c r="F936" s="28"/>
    </row>
    <row r="937" customFormat="false" ht="15" hidden="false" customHeight="false" outlineLevel="0" collapsed="false">
      <c r="A937" s="26"/>
      <c r="B937" s="26"/>
      <c r="C937" s="26"/>
      <c r="D937" s="26"/>
      <c r="E937" s="28"/>
      <c r="F937" s="28"/>
    </row>
    <row r="938" customFormat="false" ht="15" hidden="false" customHeight="false" outlineLevel="0" collapsed="false">
      <c r="A938" s="26"/>
      <c r="B938" s="26"/>
      <c r="C938" s="26"/>
      <c r="D938" s="26"/>
      <c r="E938" s="28"/>
      <c r="F938" s="28"/>
    </row>
    <row r="939" customFormat="false" ht="15" hidden="false" customHeight="false" outlineLevel="0" collapsed="false">
      <c r="A939" s="26"/>
      <c r="B939" s="26"/>
      <c r="C939" s="26"/>
      <c r="D939" s="26"/>
      <c r="E939" s="28"/>
      <c r="F939" s="28"/>
    </row>
    <row r="940" customFormat="false" ht="15" hidden="false" customHeight="false" outlineLevel="0" collapsed="false">
      <c r="A940" s="26"/>
      <c r="B940" s="26"/>
      <c r="C940" s="26"/>
      <c r="D940" s="26"/>
      <c r="E940" s="28"/>
      <c r="F940" s="28"/>
    </row>
    <row r="941" customFormat="false" ht="15" hidden="false" customHeight="false" outlineLevel="0" collapsed="false">
      <c r="A941" s="26"/>
      <c r="B941" s="26"/>
      <c r="C941" s="26"/>
      <c r="D941" s="26"/>
      <c r="E941" s="28"/>
      <c r="F941" s="28"/>
    </row>
    <row r="942" customFormat="false" ht="15" hidden="false" customHeight="false" outlineLevel="0" collapsed="false">
      <c r="A942" s="26"/>
      <c r="B942" s="26"/>
      <c r="C942" s="26"/>
      <c r="D942" s="26"/>
      <c r="E942" s="28"/>
      <c r="F942" s="28"/>
    </row>
    <row r="943" customFormat="false" ht="15" hidden="false" customHeight="false" outlineLevel="0" collapsed="false">
      <c r="A943" s="26"/>
      <c r="B943" s="26"/>
      <c r="C943" s="26"/>
      <c r="D943" s="26"/>
      <c r="E943" s="28"/>
      <c r="F943" s="28"/>
    </row>
    <row r="944" customFormat="false" ht="15" hidden="false" customHeight="false" outlineLevel="0" collapsed="false">
      <c r="A944" s="26"/>
      <c r="B944" s="26"/>
      <c r="C944" s="26"/>
      <c r="D944" s="26"/>
      <c r="E944" s="28"/>
      <c r="F944" s="28"/>
    </row>
    <row r="945" customFormat="false" ht="15" hidden="false" customHeight="false" outlineLevel="0" collapsed="false">
      <c r="A945" s="26"/>
      <c r="B945" s="26"/>
      <c r="C945" s="26"/>
      <c r="D945" s="26"/>
      <c r="E945" s="28"/>
      <c r="F945" s="28"/>
    </row>
    <row r="946" customFormat="false" ht="15" hidden="false" customHeight="false" outlineLevel="0" collapsed="false">
      <c r="A946" s="26"/>
      <c r="B946" s="26"/>
      <c r="C946" s="26"/>
      <c r="D946" s="26"/>
      <c r="E946" s="28"/>
      <c r="F946" s="28"/>
    </row>
    <row r="947" customFormat="false" ht="15" hidden="false" customHeight="false" outlineLevel="0" collapsed="false">
      <c r="A947" s="26"/>
      <c r="B947" s="26"/>
      <c r="C947" s="26"/>
      <c r="D947" s="26"/>
      <c r="E947" s="28"/>
      <c r="F947" s="28"/>
    </row>
    <row r="948" customFormat="false" ht="15" hidden="false" customHeight="false" outlineLevel="0" collapsed="false">
      <c r="A948" s="26"/>
      <c r="B948" s="26"/>
      <c r="C948" s="26"/>
      <c r="D948" s="26"/>
      <c r="E948" s="28"/>
      <c r="F948" s="28"/>
    </row>
    <row r="949" customFormat="false" ht="15" hidden="false" customHeight="false" outlineLevel="0" collapsed="false">
      <c r="A949" s="26"/>
      <c r="B949" s="26"/>
      <c r="C949" s="26"/>
      <c r="D949" s="26"/>
      <c r="E949" s="28"/>
      <c r="F949" s="28"/>
    </row>
    <row r="950" customFormat="false" ht="15" hidden="false" customHeight="false" outlineLevel="0" collapsed="false">
      <c r="A950" s="26"/>
      <c r="B950" s="26"/>
      <c r="C950" s="26"/>
      <c r="D950" s="26"/>
      <c r="E950" s="28"/>
      <c r="F950" s="28"/>
    </row>
    <row r="951" customFormat="false" ht="15" hidden="false" customHeight="false" outlineLevel="0" collapsed="false">
      <c r="A951" s="26"/>
      <c r="B951" s="26"/>
      <c r="C951" s="26"/>
      <c r="D951" s="26"/>
      <c r="E951" s="28"/>
      <c r="F951" s="28"/>
    </row>
    <row r="952" customFormat="false" ht="15" hidden="false" customHeight="false" outlineLevel="0" collapsed="false">
      <c r="A952" s="26"/>
      <c r="B952" s="26"/>
      <c r="C952" s="26"/>
      <c r="D952" s="26"/>
      <c r="E952" s="28"/>
      <c r="F952" s="28"/>
    </row>
    <row r="953" customFormat="false" ht="15" hidden="false" customHeight="false" outlineLevel="0" collapsed="false">
      <c r="A953" s="26"/>
      <c r="B953" s="26"/>
      <c r="C953" s="26"/>
      <c r="D953" s="26"/>
      <c r="E953" s="28"/>
      <c r="F953" s="28"/>
    </row>
    <row r="954" customFormat="false" ht="15" hidden="false" customHeight="false" outlineLevel="0" collapsed="false">
      <c r="A954" s="26"/>
      <c r="B954" s="26"/>
      <c r="C954" s="26"/>
      <c r="D954" s="26"/>
      <c r="E954" s="28"/>
      <c r="F954" s="28"/>
    </row>
    <row r="955" customFormat="false" ht="15" hidden="false" customHeight="false" outlineLevel="0" collapsed="false">
      <c r="A955" s="26"/>
      <c r="B955" s="26"/>
      <c r="C955" s="26"/>
      <c r="D955" s="26"/>
      <c r="E955" s="28"/>
      <c r="F955" s="28"/>
    </row>
    <row r="956" customFormat="false" ht="15" hidden="false" customHeight="false" outlineLevel="0" collapsed="false">
      <c r="A956" s="26"/>
      <c r="B956" s="26"/>
      <c r="C956" s="26"/>
      <c r="D956" s="26"/>
      <c r="E956" s="28"/>
      <c r="F956" s="28"/>
    </row>
    <row r="957" customFormat="false" ht="15" hidden="false" customHeight="false" outlineLevel="0" collapsed="false">
      <c r="A957" s="26"/>
      <c r="B957" s="26"/>
      <c r="C957" s="26"/>
      <c r="D957" s="26"/>
      <c r="E957" s="28"/>
      <c r="F957" s="28"/>
    </row>
    <row r="958" customFormat="false" ht="15" hidden="false" customHeight="false" outlineLevel="0" collapsed="false">
      <c r="A958" s="26"/>
      <c r="B958" s="26"/>
      <c r="C958" s="26"/>
      <c r="D958" s="26"/>
      <c r="E958" s="28"/>
      <c r="F958" s="28"/>
    </row>
    <row r="959" customFormat="false" ht="15" hidden="false" customHeight="false" outlineLevel="0" collapsed="false">
      <c r="A959" s="26"/>
      <c r="B959" s="26"/>
      <c r="C959" s="26"/>
      <c r="D959" s="26"/>
      <c r="E959" s="28"/>
      <c r="F959" s="28"/>
    </row>
    <row r="960" customFormat="false" ht="15" hidden="false" customHeight="false" outlineLevel="0" collapsed="false">
      <c r="A960" s="26"/>
      <c r="B960" s="26"/>
      <c r="C960" s="26"/>
      <c r="D960" s="26"/>
      <c r="E960" s="28"/>
      <c r="F960" s="28"/>
    </row>
    <row r="961" customFormat="false" ht="15" hidden="false" customHeight="false" outlineLevel="0" collapsed="false">
      <c r="A961" s="26"/>
      <c r="B961" s="26"/>
      <c r="C961" s="26"/>
      <c r="D961" s="26"/>
      <c r="E961" s="28"/>
      <c r="F961" s="28"/>
    </row>
    <row r="962" customFormat="false" ht="15" hidden="false" customHeight="false" outlineLevel="0" collapsed="false">
      <c r="A962" s="26"/>
      <c r="B962" s="26"/>
      <c r="C962" s="26"/>
      <c r="D962" s="26"/>
      <c r="E962" s="28"/>
      <c r="F962" s="28"/>
    </row>
    <row r="963" customFormat="false" ht="15" hidden="false" customHeight="false" outlineLevel="0" collapsed="false">
      <c r="A963" s="26"/>
      <c r="B963" s="26"/>
      <c r="C963" s="26"/>
      <c r="D963" s="26"/>
      <c r="E963" s="28"/>
      <c r="F963" s="28"/>
    </row>
    <row r="964" customFormat="false" ht="15" hidden="false" customHeight="false" outlineLevel="0" collapsed="false">
      <c r="A964" s="26"/>
      <c r="B964" s="26"/>
      <c r="C964" s="26"/>
      <c r="D964" s="26"/>
      <c r="E964" s="28"/>
      <c r="F964" s="28"/>
    </row>
    <row r="965" customFormat="false" ht="15" hidden="false" customHeight="false" outlineLevel="0" collapsed="false">
      <c r="A965" s="26"/>
      <c r="B965" s="26"/>
      <c r="C965" s="26"/>
      <c r="D965" s="26"/>
      <c r="E965" s="28"/>
      <c r="F965" s="28"/>
    </row>
    <row r="966" customFormat="false" ht="15" hidden="false" customHeight="false" outlineLevel="0" collapsed="false">
      <c r="A966" s="26"/>
      <c r="B966" s="26"/>
      <c r="C966" s="26"/>
      <c r="D966" s="26"/>
      <c r="E966" s="28"/>
      <c r="F966" s="28"/>
    </row>
    <row r="967" customFormat="false" ht="15" hidden="false" customHeight="false" outlineLevel="0" collapsed="false">
      <c r="A967" s="26"/>
      <c r="B967" s="26"/>
      <c r="C967" s="26"/>
      <c r="D967" s="26"/>
      <c r="E967" s="28"/>
      <c r="F967" s="28"/>
    </row>
    <row r="968" customFormat="false" ht="15" hidden="false" customHeight="false" outlineLevel="0" collapsed="false">
      <c r="A968" s="26"/>
      <c r="B968" s="26"/>
      <c r="C968" s="26"/>
      <c r="D968" s="26"/>
      <c r="E968" s="28"/>
      <c r="F968" s="28"/>
    </row>
    <row r="969" customFormat="false" ht="15" hidden="false" customHeight="false" outlineLevel="0" collapsed="false">
      <c r="A969" s="26"/>
      <c r="B969" s="26"/>
      <c r="C969" s="26"/>
      <c r="D969" s="26"/>
      <c r="E969" s="28"/>
      <c r="F969" s="28"/>
    </row>
    <row r="970" customFormat="false" ht="15" hidden="false" customHeight="false" outlineLevel="0" collapsed="false">
      <c r="A970" s="26"/>
      <c r="B970" s="26"/>
      <c r="C970" s="26"/>
      <c r="D970" s="26"/>
      <c r="E970" s="28"/>
      <c r="F970" s="28"/>
    </row>
    <row r="971" customFormat="false" ht="15" hidden="false" customHeight="false" outlineLevel="0" collapsed="false">
      <c r="A971" s="26"/>
      <c r="B971" s="26"/>
      <c r="C971" s="26"/>
      <c r="D971" s="26"/>
      <c r="E971" s="28"/>
      <c r="F971" s="28"/>
    </row>
    <row r="972" customFormat="false" ht="15" hidden="false" customHeight="false" outlineLevel="0" collapsed="false">
      <c r="A972" s="26"/>
      <c r="B972" s="26"/>
      <c r="C972" s="26"/>
      <c r="D972" s="26"/>
      <c r="E972" s="28"/>
      <c r="F972" s="28"/>
    </row>
    <row r="973" customFormat="false" ht="15" hidden="false" customHeight="false" outlineLevel="0" collapsed="false">
      <c r="A973" s="26"/>
      <c r="B973" s="26"/>
      <c r="C973" s="26"/>
      <c r="D973" s="26"/>
      <c r="E973" s="28"/>
      <c r="F973" s="28"/>
    </row>
    <row r="974" customFormat="false" ht="15" hidden="false" customHeight="false" outlineLevel="0" collapsed="false">
      <c r="A974" s="26"/>
      <c r="B974" s="26"/>
      <c r="C974" s="26"/>
      <c r="D974" s="26"/>
      <c r="E974" s="28"/>
      <c r="F974" s="28"/>
    </row>
    <row r="975" customFormat="false" ht="15" hidden="false" customHeight="false" outlineLevel="0" collapsed="false">
      <c r="A975" s="26"/>
      <c r="B975" s="26"/>
      <c r="C975" s="26"/>
      <c r="D975" s="26"/>
      <c r="E975" s="28"/>
      <c r="F975" s="28"/>
    </row>
    <row r="976" customFormat="false" ht="15" hidden="false" customHeight="false" outlineLevel="0" collapsed="false">
      <c r="A976" s="26"/>
      <c r="B976" s="26"/>
      <c r="C976" s="26"/>
      <c r="D976" s="26"/>
      <c r="E976" s="28"/>
      <c r="F976" s="28"/>
    </row>
    <row r="977" customFormat="false" ht="15" hidden="false" customHeight="false" outlineLevel="0" collapsed="false">
      <c r="A977" s="26"/>
      <c r="B977" s="26"/>
      <c r="C977" s="26"/>
      <c r="D977" s="26"/>
      <c r="E977" s="28"/>
      <c r="F977" s="28"/>
    </row>
    <row r="978" customFormat="false" ht="15" hidden="false" customHeight="false" outlineLevel="0" collapsed="false">
      <c r="A978" s="26"/>
      <c r="B978" s="26"/>
      <c r="C978" s="26"/>
      <c r="D978" s="26"/>
      <c r="E978" s="28"/>
      <c r="F978" s="28"/>
    </row>
    <row r="979" customFormat="false" ht="15" hidden="false" customHeight="false" outlineLevel="0" collapsed="false">
      <c r="A979" s="26"/>
      <c r="B979" s="26"/>
      <c r="C979" s="26"/>
      <c r="D979" s="26"/>
      <c r="E979" s="28"/>
      <c r="F979" s="28"/>
    </row>
    <row r="980" customFormat="false" ht="15" hidden="false" customHeight="false" outlineLevel="0" collapsed="false">
      <c r="A980" s="26"/>
      <c r="B980" s="26"/>
      <c r="C980" s="26"/>
      <c r="D980" s="26"/>
      <c r="E980" s="28"/>
      <c r="F980" s="28"/>
    </row>
    <row r="981" customFormat="false" ht="15" hidden="false" customHeight="false" outlineLevel="0" collapsed="false">
      <c r="A981" s="26"/>
      <c r="B981" s="26"/>
      <c r="C981" s="26"/>
      <c r="D981" s="26"/>
      <c r="E981" s="28"/>
      <c r="F981" s="28"/>
    </row>
    <row r="982" customFormat="false" ht="15" hidden="false" customHeight="false" outlineLevel="0" collapsed="false">
      <c r="A982" s="26"/>
      <c r="B982" s="26"/>
      <c r="C982" s="26"/>
      <c r="D982" s="26"/>
      <c r="E982" s="28"/>
      <c r="F982" s="28"/>
    </row>
    <row r="983" customFormat="false" ht="15" hidden="false" customHeight="false" outlineLevel="0" collapsed="false">
      <c r="A983" s="26"/>
      <c r="B983" s="26"/>
      <c r="C983" s="26"/>
      <c r="D983" s="26"/>
      <c r="E983" s="28"/>
      <c r="F983" s="28"/>
    </row>
    <row r="984" customFormat="false" ht="15" hidden="false" customHeight="false" outlineLevel="0" collapsed="false">
      <c r="A984" s="26"/>
      <c r="B984" s="26"/>
      <c r="C984" s="26"/>
      <c r="D984" s="26"/>
      <c r="E984" s="28"/>
      <c r="F984" s="28"/>
    </row>
    <row r="985" customFormat="false" ht="15" hidden="false" customHeight="false" outlineLevel="0" collapsed="false">
      <c r="A985" s="26"/>
      <c r="B985" s="26"/>
      <c r="C985" s="26"/>
      <c r="D985" s="26"/>
      <c r="E985" s="28"/>
      <c r="F985" s="28"/>
    </row>
    <row r="986" customFormat="false" ht="15" hidden="false" customHeight="false" outlineLevel="0" collapsed="false">
      <c r="A986" s="26"/>
      <c r="B986" s="26"/>
      <c r="C986" s="26"/>
      <c r="D986" s="26"/>
      <c r="E986" s="28"/>
      <c r="F986" s="28"/>
    </row>
    <row r="987" customFormat="false" ht="15" hidden="false" customHeight="false" outlineLevel="0" collapsed="false">
      <c r="A987" s="26"/>
      <c r="B987" s="26"/>
      <c r="C987" s="26"/>
      <c r="D987" s="26"/>
      <c r="E987" s="28"/>
      <c r="F987" s="28"/>
    </row>
    <row r="988" customFormat="false" ht="15" hidden="false" customHeight="false" outlineLevel="0" collapsed="false">
      <c r="A988" s="26"/>
      <c r="B988" s="26"/>
      <c r="C988" s="26"/>
      <c r="D988" s="26"/>
      <c r="E988" s="28"/>
      <c r="F988" s="28"/>
    </row>
    <row r="989" customFormat="false" ht="15" hidden="false" customHeight="false" outlineLevel="0" collapsed="false">
      <c r="A989" s="26"/>
      <c r="B989" s="26"/>
      <c r="C989" s="26"/>
      <c r="D989" s="26"/>
      <c r="E989" s="28"/>
      <c r="F989" s="28"/>
    </row>
    <row r="990" customFormat="false" ht="15" hidden="false" customHeight="false" outlineLevel="0" collapsed="false">
      <c r="A990" s="26"/>
      <c r="B990" s="26"/>
      <c r="C990" s="26"/>
      <c r="D990" s="26"/>
      <c r="E990" s="28"/>
      <c r="F990" s="28"/>
    </row>
    <row r="991" customFormat="false" ht="15" hidden="false" customHeight="false" outlineLevel="0" collapsed="false">
      <c r="A991" s="26"/>
      <c r="B991" s="26"/>
      <c r="C991" s="26"/>
      <c r="D991" s="26"/>
      <c r="E991" s="28"/>
      <c r="F991" s="28"/>
    </row>
    <row r="992" customFormat="false" ht="15" hidden="false" customHeight="false" outlineLevel="0" collapsed="false">
      <c r="A992" s="26"/>
      <c r="B992" s="26"/>
      <c r="C992" s="26"/>
      <c r="D992" s="26"/>
      <c r="E992" s="28"/>
      <c r="F992" s="28"/>
    </row>
    <row r="993" customFormat="false" ht="15" hidden="false" customHeight="false" outlineLevel="0" collapsed="false">
      <c r="A993" s="26"/>
      <c r="B993" s="26"/>
      <c r="C993" s="26"/>
      <c r="D993" s="26"/>
      <c r="E993" s="28"/>
      <c r="F993" s="28"/>
    </row>
    <row r="994" customFormat="false" ht="15" hidden="false" customHeight="false" outlineLevel="0" collapsed="false">
      <c r="A994" s="26"/>
      <c r="B994" s="26"/>
      <c r="C994" s="26"/>
      <c r="D994" s="26"/>
      <c r="E994" s="28"/>
      <c r="F994" s="28"/>
    </row>
    <row r="995" customFormat="false" ht="15" hidden="false" customHeight="false" outlineLevel="0" collapsed="false">
      <c r="A995" s="26"/>
      <c r="B995" s="26"/>
      <c r="C995" s="26"/>
      <c r="D995" s="26"/>
      <c r="E995" s="28"/>
      <c r="F995" s="28"/>
    </row>
    <row r="996" customFormat="false" ht="15" hidden="false" customHeight="false" outlineLevel="0" collapsed="false">
      <c r="A996" s="26"/>
      <c r="B996" s="26"/>
      <c r="C996" s="26"/>
      <c r="D996" s="26"/>
      <c r="E996" s="28"/>
      <c r="F996" s="28"/>
    </row>
    <row r="997" customFormat="false" ht="15" hidden="false" customHeight="false" outlineLevel="0" collapsed="false">
      <c r="A997" s="26"/>
      <c r="B997" s="26"/>
      <c r="C997" s="26"/>
      <c r="D997" s="26"/>
      <c r="E997" s="28"/>
      <c r="F997" s="28"/>
    </row>
    <row r="998" customFormat="false" ht="15" hidden="false" customHeight="false" outlineLevel="0" collapsed="false">
      <c r="A998" s="26"/>
      <c r="B998" s="26"/>
      <c r="C998" s="26"/>
      <c r="D998" s="26"/>
      <c r="E998" s="28"/>
      <c r="F998" s="28"/>
    </row>
    <row r="999" customFormat="false" ht="15" hidden="false" customHeight="false" outlineLevel="0" collapsed="false">
      <c r="A999" s="26"/>
      <c r="B999" s="26"/>
      <c r="C999" s="26"/>
      <c r="D999" s="26"/>
      <c r="E999" s="28"/>
      <c r="F999" s="28"/>
    </row>
    <row r="1000" customFormat="false" ht="15" hidden="false" customHeight="false" outlineLevel="0" collapsed="false">
      <c r="A1000" s="26"/>
      <c r="B1000" s="26"/>
      <c r="C1000" s="26"/>
      <c r="D1000" s="26"/>
      <c r="E1000" s="28"/>
      <c r="F1000" s="28"/>
    </row>
    <row r="1001" customFormat="false" ht="15" hidden="false" customHeight="false" outlineLevel="0" collapsed="false">
      <c r="A1001" s="26"/>
      <c r="B1001" s="26"/>
      <c r="C1001" s="26"/>
      <c r="D1001" s="26"/>
      <c r="E1001" s="28"/>
      <c r="F1001" s="28"/>
    </row>
    <row r="1002" customFormat="false" ht="15" hidden="false" customHeight="false" outlineLevel="0" collapsed="false">
      <c r="A1002" s="26"/>
      <c r="B1002" s="26"/>
      <c r="C1002" s="26"/>
      <c r="D1002" s="26"/>
      <c r="E1002" s="28"/>
      <c r="F1002" s="28"/>
    </row>
    <row r="1003" customFormat="false" ht="15" hidden="false" customHeight="false" outlineLevel="0" collapsed="false">
      <c r="A1003" s="26"/>
      <c r="B1003" s="26"/>
      <c r="C1003" s="26"/>
      <c r="D1003" s="26"/>
      <c r="E1003" s="28"/>
      <c r="F1003" s="28"/>
    </row>
    <row r="1004" customFormat="false" ht="15" hidden="false" customHeight="false" outlineLevel="0" collapsed="false">
      <c r="A1004" s="26"/>
      <c r="B1004" s="26"/>
      <c r="C1004" s="26"/>
      <c r="D1004" s="26"/>
      <c r="E1004" s="28"/>
      <c r="F1004" s="28"/>
    </row>
    <row r="1005" customFormat="false" ht="15" hidden="false" customHeight="false" outlineLevel="0" collapsed="false">
      <c r="A1005" s="26"/>
      <c r="B1005" s="26"/>
      <c r="C1005" s="26"/>
      <c r="D1005" s="26"/>
      <c r="E1005" s="28"/>
      <c r="F1005" s="28"/>
    </row>
    <row r="1006" customFormat="false" ht="15" hidden="false" customHeight="false" outlineLevel="0" collapsed="false">
      <c r="A1006" s="26"/>
      <c r="B1006" s="26"/>
      <c r="C1006" s="26"/>
      <c r="D1006" s="26"/>
      <c r="E1006" s="28"/>
      <c r="F1006" s="28"/>
    </row>
    <row r="1007" customFormat="false" ht="15" hidden="false" customHeight="false" outlineLevel="0" collapsed="false">
      <c r="A1007" s="26"/>
      <c r="B1007" s="26"/>
      <c r="C1007" s="26"/>
      <c r="D1007" s="26"/>
      <c r="E1007" s="28"/>
      <c r="F1007" s="28"/>
    </row>
    <row r="1008" customFormat="false" ht="15" hidden="false" customHeight="false" outlineLevel="0" collapsed="false">
      <c r="A1008" s="26"/>
      <c r="B1008" s="26"/>
      <c r="C1008" s="26"/>
      <c r="D1008" s="26"/>
      <c r="E1008" s="28"/>
      <c r="F1008" s="28"/>
    </row>
    <row r="1009" customFormat="false" ht="15" hidden="false" customHeight="false" outlineLevel="0" collapsed="false">
      <c r="A1009" s="26"/>
      <c r="B1009" s="26"/>
      <c r="C1009" s="26"/>
      <c r="D1009" s="26"/>
      <c r="E1009" s="28"/>
      <c r="F1009" s="28"/>
    </row>
    <row r="1010" customFormat="false" ht="15" hidden="false" customHeight="false" outlineLevel="0" collapsed="false">
      <c r="A1010" s="26"/>
      <c r="B1010" s="26"/>
      <c r="C1010" s="26"/>
      <c r="D1010" s="26"/>
      <c r="E1010" s="28"/>
      <c r="F1010" s="28"/>
    </row>
    <row r="1011" customFormat="false" ht="15" hidden="false" customHeight="false" outlineLevel="0" collapsed="false">
      <c r="A1011" s="26"/>
      <c r="B1011" s="26"/>
      <c r="C1011" s="26"/>
      <c r="D1011" s="26"/>
      <c r="E1011" s="28"/>
      <c r="F1011" s="28"/>
    </row>
    <row r="1012" customFormat="false" ht="15" hidden="false" customHeight="false" outlineLevel="0" collapsed="false">
      <c r="A1012" s="26"/>
      <c r="B1012" s="26"/>
      <c r="C1012" s="26"/>
      <c r="D1012" s="26"/>
      <c r="E1012" s="28"/>
      <c r="F1012" s="28"/>
    </row>
    <row r="1013" customFormat="false" ht="15.75" hidden="false" customHeight="true" outlineLevel="0" collapsed="false">
      <c r="A1013" s="26"/>
      <c r="B1013" s="26"/>
      <c r="C1013" s="26"/>
      <c r="D1013" s="26"/>
      <c r="E1013" s="28"/>
      <c r="F1013" s="28"/>
    </row>
    <row r="1014" customFormat="false" ht="15.75" hidden="false" customHeight="true" outlineLevel="0" collapsed="false">
      <c r="A1014" s="26"/>
      <c r="B1014" s="26"/>
      <c r="C1014" s="26"/>
      <c r="D1014" s="26"/>
      <c r="E1014" s="28"/>
      <c r="F1014" s="28"/>
    </row>
    <row r="1015" customFormat="false" ht="15.75" hidden="false" customHeight="true" outlineLevel="0" collapsed="false">
      <c r="A1015" s="26"/>
      <c r="B1015" s="26"/>
      <c r="C1015" s="26"/>
      <c r="D1015" s="26"/>
      <c r="E1015" s="28"/>
      <c r="F1015" s="28"/>
    </row>
    <row r="1016" customFormat="false" ht="15.75" hidden="false" customHeight="true" outlineLevel="0" collapsed="false">
      <c r="A1016" s="26"/>
      <c r="B1016" s="26"/>
      <c r="C1016" s="26"/>
      <c r="D1016" s="26"/>
      <c r="E1016" s="28"/>
      <c r="F1016" s="28"/>
    </row>
    <row r="1017" customFormat="false" ht="15.75" hidden="false" customHeight="true" outlineLevel="0" collapsed="false">
      <c r="A1017" s="26"/>
      <c r="B1017" s="26"/>
      <c r="C1017" s="26"/>
      <c r="D1017" s="26"/>
      <c r="E1017" s="28"/>
      <c r="F1017" s="28"/>
    </row>
    <row r="1018" customFormat="false" ht="15.75" hidden="false" customHeight="true" outlineLevel="0" collapsed="false">
      <c r="A1018" s="26"/>
      <c r="B1018" s="26"/>
      <c r="C1018" s="26"/>
      <c r="D1018" s="26"/>
      <c r="E1018" s="28"/>
      <c r="F1018" s="28"/>
    </row>
    <row r="1019" customFormat="false" ht="15.75" hidden="false" customHeight="true" outlineLevel="0" collapsed="false">
      <c r="A1019" s="26"/>
      <c r="B1019" s="26"/>
      <c r="C1019" s="26"/>
      <c r="D1019" s="26"/>
      <c r="E1019" s="28"/>
      <c r="F1019" s="28"/>
    </row>
    <row r="1020" customFormat="false" ht="15.75" hidden="false" customHeight="true" outlineLevel="0" collapsed="false">
      <c r="A1020" s="26"/>
      <c r="B1020" s="26"/>
      <c r="C1020" s="26"/>
      <c r="D1020" s="26"/>
      <c r="E1020" s="28"/>
      <c r="F1020" s="28"/>
    </row>
    <row r="1021" customFormat="false" ht="15.75" hidden="false" customHeight="true" outlineLevel="0" collapsed="false">
      <c r="A1021" s="26"/>
      <c r="B1021" s="26"/>
      <c r="C1021" s="26"/>
      <c r="D1021" s="26"/>
      <c r="E1021" s="28"/>
      <c r="F1021" s="28"/>
    </row>
  </sheetData>
  <autoFilter ref="A1:F1021">
    <sortState ref="A2:F1021">
      <sortCondition ref="A2:A1021" descending="1" customList=""/>
    </sortState>
  </autoFilter>
  <hyperlinks>
    <hyperlink ref="C2" r:id="rId1" display="croc.ru"/>
    <hyperlink ref="D2" r:id="rId2" display="https://online.sbis.ru/page/contractor/124dc800-ad93-11e0-92dd-00c2592e2283?page=crm&amp;tab=all&amp;anchor=finance"/>
    <hyperlink ref="C3" r:id="rId3" display="xcom.ru"/>
    <hyperlink ref="D3" r:id="rId4" display="https://online.sbis.ru/page/contractor/c9a64800-8648-11e0-9370-007b01872283?page=crm"/>
    <hyperlink ref="C4" r:id="rId5" display="lanit.ru"/>
    <hyperlink ref="D4" r:id="rId6" display="https://online.sbis.ru/page/contractor/3b320800-b313-11e0-9501-00c7172c2283?page=crm&amp;tab=all&amp;anchor=owners"/>
    <hyperlink ref="C5" r:id="rId7" display="lanit.ru"/>
    <hyperlink ref="D5" r:id="rId8" display="https://online.sbis.ru/page/contractor/3b320800-b313-11e0-9501-00c7172c2283?page=crm&amp;tab=all&amp;anchor=owners"/>
    <hyperlink ref="C6" r:id="rId9" display="step.ru"/>
    <hyperlink ref="D6" r:id="rId10" display="https://online.sbis.ru/page/contractor/d2c74800-69fe-11e0-a10e-0117c0502283?page=crm&amp;tab=all&amp;anchor=owners"/>
    <hyperlink ref="C7" r:id="rId11" display="auvix.ru"/>
    <hyperlink ref="D7" r:id="rId12" display="https://online.sbis.ru/page/contractor/e078c800-3f8f-11e0-b341-00eaaf0d2283?page=crm"/>
    <hyperlink ref="C8" r:id="rId13" display="avilex.ru"/>
    <hyperlink ref="D8" r:id="rId14" display="https://online.sbis.ru/page/contractor/124dc800-ad93-11e0-a200-00ce94852283?page=crm"/>
    <hyperlink ref="C9" r:id="rId15" display="polymedia.ru"/>
    <hyperlink ref="D9" r:id="rId16" display="https://online.sbis.ru/page/contractor/efb6c800-53cb-11e8-a5a9-03872c692283?page=crm&amp;tab=all&amp;anchor=owners"/>
    <hyperlink ref="C10" r:id="rId17" display="polymedia.ru"/>
    <hyperlink ref="D10" r:id="rId18" display="https://online.sbis.ru/page/contractor/efb6c800-53cb-11e8-a5a9-03872c692283?page=crm&amp;tab=all&amp;anchor=owners"/>
    <hyperlink ref="C11" r:id="rId19" display="livesound.ru"/>
    <hyperlink ref="D11" r:id="rId20" display="https://online.sbis.ru/page/contractor/28a4d040-7f75-11ee-9224-04ee49a92283?page=crm"/>
    <hyperlink ref="D12" r:id="rId21" display="https://online.sbis.ru/page/contractor/e9698800-a812-11e0-924b-00ae96332283?page=crm&amp;tab=all&amp;anchor=owners"/>
    <hyperlink ref="C13" r:id="rId22" display="ctccapital.ru"/>
    <hyperlink ref="D13" r:id="rId23" display="https://online.sbis.ru/page/contractor/4d740800-7a7f-11e0-b2b7-00fdb3ea2283?page=crm&amp;tab=all&amp;anchor=owners"/>
    <hyperlink ref="C14" r:id="rId24" display="leintegration.ru"/>
    <hyperlink ref="D14" r:id="rId25" display="https://online.sbis.ru/page/contractor/f8d44800-15d0-11e4-a358-02d3a4c62283?page=crm"/>
    <hyperlink ref="C15" r:id="rId26" display="digis.ru"/>
    <hyperlink ref="D15" r:id="rId27" display="https://online.sbis.ru/page/contractor/659bc800-b3dc-11e0-8259-00e0a7fc2283?page=crm&amp;tab=all&amp;anchor=owners"/>
    <hyperlink ref="C16" r:id="rId28" display="digis.ru"/>
    <hyperlink ref="D16" r:id="rId29" display="https://online.sbis.ru/page/contractor/659bc800-b3dc-11e0-8259-00e0a7fc2283?page=crm&amp;tab=all&amp;anchor=owners"/>
    <hyperlink ref="C17" r:id="rId30" display="astronis.ru"/>
    <hyperlink ref="D17" r:id="rId31" display="https://online.sbis.ru/page/contractor/51a78800-97a5-11e5-a1a9-0311a5962283?page=crm&amp;tab=all&amp;anchor=finance"/>
    <hyperlink ref="C18" r:id="rId32" display="oberon-it.ru"/>
    <hyperlink ref="D18" r:id="rId33" display="https://online.sbis.ru/page/contractor/4ef98800-75c8-11e0-9112-0092fc382283?page=crm"/>
    <hyperlink ref="C19" r:id="rId34" display="trueconf.ru"/>
    <hyperlink ref="D19" r:id="rId35" display="https://online.sbis.ru/page/contractor/47f94800-6407-11eb-92fa-04113f852283?page=crm"/>
    <hyperlink ref="C20" r:id="rId36" display="vkorpe.ru"/>
    <hyperlink ref="D20" r:id="rId37" display="https://online.sbis.ru/page/contractor/94998800-c831-11e4-b362-02f1b0a62283?page=crm&amp;tab=all&amp;anchor=owners"/>
    <hyperlink ref="C21" r:id="rId38" display="abak2000.ru"/>
    <hyperlink ref="D21" r:id="rId39" display="https://online.sbis.ru/page/contractor/a6d80800-6dec-11e0-a11a-00c82b062283?page=crm&amp;tab=all&amp;anchor=owners"/>
    <hyperlink ref="C22" r:id="rId40" display="teleserv.ru"/>
    <hyperlink ref="D22" r:id="rId41" display="https://online.sbis.ru/page/contractor/ce36c800-7823-11e0-a0a9-00970d612283?page=crm"/>
    <hyperlink ref="C23" r:id="rId42" display="profdisplays.ru"/>
    <hyperlink ref="D23" r:id="rId43" display="https://online.sbis.ru/page/contractor/c66e8800-3634-11e5-a32f-03086c3b2283?page=crm&amp;tab=all&amp;anchor=owners"/>
    <hyperlink ref="C24" r:id="rId44" display="ascreen.ru"/>
    <hyperlink ref="D24" r:id="rId45" display="https://online.sbis.ru/page/contractor/c66b0800-1483-11e1-b260-012bccee2283?page=crm&amp;tab=all&amp;anchor=owners"/>
    <hyperlink ref="C25" r:id="rId46" display="gigant.ru"/>
    <hyperlink ref="D25" r:id="rId47" display="https://online.sbis.ru/page/contractor/0d2c8800-4a1f-11e2-93aa-026853ed2283?page=crm"/>
    <hyperlink ref="C26" r:id="rId48" display="hi-tech.org"/>
    <hyperlink ref="D26" r:id="rId49" display="https://online.sbis.ru/page/contractor/cc544800-a825-11e5-92ac-03180c142283?page=crm&amp;tab=all&amp;anchor=owners"/>
    <hyperlink ref="C27" r:id="rId50" display="vidau.tv"/>
    <hyperlink ref="D27" r:id="rId51" display="https://online.sbis.ru/page/contractor/a4614800-0aa4-11e3-9114-02a1353f2283?page=crm&amp;tab=all&amp;anchor=owners"/>
    <hyperlink ref="C28" r:id="rId52" display="vidau.tv"/>
    <hyperlink ref="D28" r:id="rId53" display="https://online.sbis.ru/page/contractor/a4614800-0aa4-11e3-9114-02a1353f2283?page=crm&amp;tab=all&amp;anchor=owners"/>
    <hyperlink ref="C29" r:id="rId54" display="voip-shop.ru"/>
    <hyperlink ref="D29" r:id="rId55" display="https://online.sbis.ru/page/contractor/10cbc800-d3fb-11e4-b32d-02f5ada32283?page=crm"/>
    <hyperlink ref="C30" r:id="rId56" display="hdlt.ru"/>
    <hyperlink ref="D30" r:id="rId57" display="https://online.sbis.ru/page/contractor/49a80800-9721-11e2-88f5-028df4962283?page=crm"/>
    <hyperlink ref="C31" r:id="rId58" display="tmgroup.ru"/>
    <hyperlink ref="D31" r:id="rId59" display="https://online.sbis.ru/page/contractor/14cb8800-543d-11e6-b666-033983eb2283?page=crm&amp;tab=all&amp;anchor=finance"/>
    <hyperlink ref="C32" r:id="rId60" display="d2group.ru"/>
    <hyperlink ref="D32" r:id="rId61" display="https://online.sbis.ru/page/contractor/3b320800-b313-11e0-a010-00abf68d2283?page=crm"/>
    <hyperlink ref="C33" r:id="rId62" display="visuals.ru"/>
    <hyperlink ref="D33" r:id="rId63" display="https://online.sbis.ru/page/contractor/a4310800-8f71-11e3-b107-02bd725e2283?page=crm"/>
    <hyperlink ref="D34" r:id="rId64" display="https://online.sbis.ru/page/contractor/c9da0800-232c-11e4-8293-02d514302283?page=crm"/>
    <hyperlink ref="C35" r:id="rId65" display="ancomp.ru"/>
    <hyperlink ref="D35" r:id="rId66" display="https://online.sbis.ru/page/contractor/15890800-1f58-11e0-b30c-00d58a222283?page=crm&amp;tab=all&amp;anchor=owners"/>
    <hyperlink ref="C36" r:id="rId67" display="videoland-pro.ru"/>
    <hyperlink ref="D36" r:id="rId68" display="https://online.sbis.ru/page/contractor/fee6c800-e143-11df-969e-00c7c1a12283?page=crm"/>
    <hyperlink ref="C37" r:id="rId69" display="dil-it.ru"/>
    <hyperlink ref="C38" r:id="rId70" display="gksputnik.ru"/>
    <hyperlink ref="D38" r:id="rId71" display="https://online.sbis.ru/page/contractor/b1e60800-86b3-11e7-a22b-036f6d0b2283?page=crm"/>
    <hyperlink ref="C39" r:id="rId72" display="allegri-group.ru"/>
    <hyperlink ref="D39" r:id="rId73" display="https://online.sbis.ru/page/contractor/c11d0800-578d-11e7-b31c-036ac3722283?page=crm"/>
    <hyperlink ref="C40" r:id="rId74" display="icl-services.com"/>
    <hyperlink ref="D40" r:id="rId75" display="https://online.sbis.ru/page/contractor/04d00800-74e6-11e4-b18e-02e422d12283?page=crm&amp;tab=all&amp;anchor=owners"/>
    <hyperlink ref="C41" r:id="rId76" display="lemier.ru"/>
    <hyperlink ref="D41" r:id="rId77" display="https://online.sbis.ru/page/contractor/29204800-66da-11e0-8568-009472662283?page=crm&amp;tab=all&amp;anchor=owners"/>
    <hyperlink ref="C42" r:id="rId78" display="brullov.com"/>
    <hyperlink ref="D42" r:id="rId79" display="https://online.sbis.ru/page/contractor/fd348800-8c78-11e4-a2ef-02eb66bc2283?page=crm&amp;tab=all&amp;anchor=owners"/>
    <hyperlink ref="C43" r:id="rId80" display="brullov.com"/>
    <hyperlink ref="D43" r:id="rId81" display="https://online.sbis.ru/page/contractor/fd348800-8c78-11e4-a2ef-02eb66bc2283?page=crm&amp;tab=all&amp;anchor=owners"/>
    <hyperlink ref="C44" r:id="rId82" display="brullov.com"/>
    <hyperlink ref="D44" r:id="rId83" display="https://online.sbis.ru/page/contractor/fd348800-8c78-11e4-a2ef-02eb66bc2283?page=crm&amp;tab=all&amp;anchor=owners"/>
    <hyperlink ref="C45" r:id="rId84" display="gtlamp.ru"/>
    <hyperlink ref="D45" r:id="rId85" display="https://online.sbis.ru/page/contractor/ef7f8800-9536-11e0-b6ad-00d8f9f22283?page=crm&amp;tab=all&amp;anchor=owners"/>
    <hyperlink ref="C46" r:id="rId86" display="future-vision.ru"/>
    <hyperlink ref="D46" r:id="rId87" display="https://online.sbis.ru/page/contractor/a2dbc800-0f5b-11e3-b3cb-02a153b82283?page=crm&amp;tab=all&amp;anchor=owners"/>
    <hyperlink ref="C47" r:id="rId88" display="open-vision.ru"/>
    <hyperlink ref="D47" r:id="rId89" display="https://online.sbis.ru/page/contractor/29204800-66da-11e0-83b2-00d4be9f2283?page=crm&amp;tab=all&amp;anchor=finance"/>
    <hyperlink ref="C48" r:id="rId90" display="vinteo.ru"/>
    <hyperlink ref="D48" r:id="rId91" display="https://online.sbis.ru/page/contractor/4cb30800-8db3-11e2-b1cc-028107af2283?page=crm"/>
    <hyperlink ref="C49" r:id="rId92" display="vinteo.ru"/>
    <hyperlink ref="D49" r:id="rId93" display="https://online.sbis.ru/page/contractor/4cb30800-8db3-11e2-b1cc-028107af2283?page=crm"/>
    <hyperlink ref="C50" r:id="rId94" display="www.pilot.ru"/>
    <hyperlink ref="D50" r:id="rId95" display="https://online.sbis.ru/page/contractor/0f42c800-b701-11e0-b143-00ad5a5f2283?page=crm"/>
    <hyperlink ref="C51" r:id="rId96" display="bs-group.pro"/>
    <hyperlink ref="D51" r:id="rId97" display="https://online.sbis.ru/page/contractor/92b38800-d682-11e5-93d3-031dff0e2283?page=crm"/>
    <hyperlink ref="C52" r:id="rId98" display="cvg.ru"/>
    <hyperlink ref="D52" r:id="rId99" display="https://online.sbis.ru/page/contractor/b8e9c800-ba25-11e0-838c-010c87912283?page=crm"/>
    <hyperlink ref="C53" r:id="rId100" display="lankey.ru"/>
    <hyperlink ref="D53" r:id="rId101" display="https://online.sbis.ru/page/contractor/affc8800-7353-11e4-b252-02e66bd22283?page=crm"/>
    <hyperlink ref="C54" r:id="rId102" display="anzhee.ru"/>
    <hyperlink ref="D54" r:id="rId103" display="https://online.sbis.ru/page/contractor/4bc8c800-6916-11ed-a3c6-0486bde32283?page=crm&amp;tab=all&amp;anchor=owners"/>
    <hyperlink ref="C55" r:id="rId104" display="inter.ru"/>
    <hyperlink ref="D55" r:id="rId105" display="https://online.sbis.ru/page/contractor/a8610800-8ae6-11e4-82b1-02eb6cb32283?page=crm&amp;tab=all&amp;anchor=owners"/>
    <hyperlink ref="C56" r:id="rId106" display="gromvision.ru"/>
    <hyperlink ref="D56" r:id="rId107" display="https://online.sbis.ru/page/contractor/538a0800-67a3-11e0-819a-00fa00252283?page=crm&amp;tab=all&amp;anchor=owners"/>
    <hyperlink ref="C57" r:id="rId108" display="sofitlight.ru"/>
    <hyperlink ref="D57" r:id="rId109" display="https://online.sbis.ru/page/contractor/64164800-b893-11e0-8295-01179a332283?page=crm&amp;tab=all&amp;anchor=owners"/>
    <hyperlink ref="C58" r:id="rId110" display="bs-group.info"/>
    <hyperlink ref="D58" r:id="rId111" display="https://online.sbis.ru/page/contractor/94694800-4cfe-11e5-a188-0308da262283?page=crm"/>
    <hyperlink ref="C59" r:id="rId112" display="smartkiosk.ru"/>
    <hyperlink ref="D59" r:id="rId113" display="https://online.sbis.ru/page/contractor/5546c800-2181-11e8-a2e1-037f093c2283?page=crm"/>
    <hyperlink ref="C60" r:id="rId114" display="intoku.ru"/>
    <hyperlink ref="D60" r:id="rId115" display="https://online.sbis.ru/page/contractor/c05c0800-6ac1-11e9-a350-03bcb4832283?page=crm"/>
    <hyperlink ref="C61" r:id="rId116" display="audioprofi.ru"/>
    <hyperlink ref="D61" r:id="rId117" display="https://online.sbis.ru/page/contractor/7d32c800-7ba0-11e2-9236-026451bb2283?page=crm&amp;tab=all&amp;anchor=owners"/>
    <hyperlink ref="C62" r:id="rId118" display="audioprofi.ru"/>
    <hyperlink ref="D62" r:id="rId119" display="https://online.sbis.ru/page/contractor/7d32c800-7ba0-11e2-9236-026451bb2283?page=crm&amp;tab=all&amp;anchor=owners"/>
    <hyperlink ref="C63" r:id="rId120" display="audioprofi.ru"/>
    <hyperlink ref="D63" r:id="rId121" display="https://online.sbis.ru/page/contractor/7d32c800-7ba0-11e2-9236-026451bb2283?page=crm&amp;tab=all&amp;anchor=owners"/>
    <hyperlink ref="C64" r:id="rId122" display="riwa.ru"/>
    <hyperlink ref="D64" r:id="rId123" display="https://online.sbis.ru/page/contractor/1cd33a00-5333-11e4-8127-02dc76442283?page=crm"/>
    <hyperlink ref="C65" r:id="rId124" display="sonoruss.ru"/>
    <hyperlink ref="D65" r:id="rId125" display="https://online.sbis.ru/page/contractor/8fd54800-3972-11e1-a292-01dd91142283?page=crm"/>
    <hyperlink ref="C66" r:id="rId126" display="pmt.ru"/>
    <hyperlink ref="D66" r:id="rId127" display="https://online.sbis.ru/page/contractor/05644800-0830-11e7-b1bc-035f10de2283?page=crm"/>
    <hyperlink ref="C67" r:id="rId128" display="av-pro.info"/>
    <hyperlink ref="D67" r:id="rId129" display="https://online.sbis.ru/page/contractor/d78f0800-1a6e-11e8-b22e-037e9e3b2283?page=crm"/>
    <hyperlink ref="C68" r:id="rId130" display="emerlink.net"/>
    <hyperlink ref="D68" r:id="rId131" display="https://online.sbis.ru/page/contractor/9dee4800-48cb-11e8-96d5-03866e3f2283?page=crm&amp;tab=all&amp;anchor=owners"/>
    <hyperlink ref="D69" r:id="rId132" display="https://online.sbis.ru/page/contractor/29b10800-d873-11de-a155-011c67fd2283?page=crm"/>
    <hyperlink ref="C70" r:id="rId133" display="ipvs.ru"/>
    <hyperlink ref="D70" r:id="rId134" display="https://online.sbis.ru/page/contractor/42cd8800-9b80-11e0-9ac0-00aa7ab32283?page=crm&amp;tab=all&amp;anchor=owners"/>
    <hyperlink ref="C71" r:id="rId135" display="sitimedia.ru"/>
    <hyperlink ref="D71" r:id="rId136" display="https://online.sbis.ru/page/contractor/a6474800-fc53-11e1-b182-0240ee102283?page=crm"/>
    <hyperlink ref="C72" r:id="rId137" display="intechirs.ru"/>
    <hyperlink ref="D72" r:id="rId138" display="https://online.sbis.ru/page/contractor/9dee4800-48cb-11e8-96d5-03866e3f2283?page=crm&amp;tab=all&amp;anchor=owners"/>
    <hyperlink ref="C73" r:id="rId139" display="smart-av.ru"/>
    <hyperlink ref="D73" r:id="rId140" display="https://online.sbis.ru/page/contractor/e32a4800-831d-11e9-a20d-03bf68432283?page=crm"/>
    <hyperlink ref="C74" r:id="rId141" display="smart-av.ru"/>
    <hyperlink ref="D74" r:id="rId142" display="https://online.sbis.ru/page/contractor/e32a4800-831d-11e9-a20d-03bf68432283?page=crm"/>
    <hyperlink ref="C75" r:id="rId143" display="polyanalitika.ru"/>
    <hyperlink ref="D75" r:id="rId144" display="https://online.sbis.ru/page/contractor/a5edc800-494f-11eb-839a-040efc742283?page=crm&amp;tab=all&amp;anchor=owners"/>
    <hyperlink ref="C76" r:id="rId145" display="polyanalitika.ru"/>
    <hyperlink ref="D76" r:id="rId146" display="https://online.sbis.ru/page/contractor/a5edc800-494f-11eb-839a-040efc742283?page=crm&amp;tab=all&amp;anchor=owners"/>
    <hyperlink ref="C77" r:id="rId147" display="bananabread.pro"/>
    <hyperlink ref="D77" r:id="rId148" display="https://online.sbis.ru/page/contractor/b39bc800-fd2f-11e6-92c3-03574c2c2283?page=crm"/>
    <hyperlink ref="C78" r:id="rId149" display="filin.pro"/>
    <hyperlink ref="D78" r:id="rId150" display="https://online.sbis.ru/page/contractor/c3f7c800-d2ec-11e7-a113-03786c5e2283?page=crm"/>
    <hyperlink ref="C79" r:id="rId151" display="logic-systems.ru"/>
    <hyperlink ref="D79" r:id="rId152" display="https://online.sbis.ru/page/contractor/f0d4c800-154c-11e1-8288-012c3edb2283?page=crm&amp;tab=all&amp;anchor=owners"/>
    <hyperlink ref="C80" r:id="rId153" display="meta-forma.ru"/>
    <hyperlink ref="D80" r:id="rId154" display="https://online.sbis.ru/page/contractor/a0688800-cdc4-11e9-8c5c-03de13ff2283?page=crm"/>
    <hyperlink ref="C81" r:id="rId155" display="detectorgroup.ru"/>
    <hyperlink ref="D81" r:id="rId156" display="https://online.sbis.ru/page/contractor/f5388800-ada5-11e5-ab6a-031822182283?page=crm"/>
    <hyperlink ref="C82" r:id="rId157" display="polyservice.ru"/>
    <hyperlink ref="D82" r:id="rId158" display="https://online.sbis.ru/page/contractor/15900800-62ba-11e8-a135-038aadd62283?page=crm"/>
    <hyperlink ref="C83" r:id="rId159" display="videotrade.ru"/>
    <hyperlink ref="D83" r:id="rId160" display="https://online.sbis.ru/page/contractor/aaa40800-514a-11de-a274-00e657b52283?page=crm&amp;tab=all&amp;anchor=finance"/>
    <hyperlink ref="C84" r:id="rId161" display="av-prom.ru"/>
    <hyperlink ref="D84" r:id="rId162" display="https://online.sbis.ru/page/contractor/0f42c800-b701-11e0-830d-00a4a1d52283?page=crm&amp;tab=all&amp;anchor=owners"/>
    <hyperlink ref="C85" r:id="rId163" display="umvek.ru"/>
    <hyperlink ref="D85" r:id="rId164" display="https://online.sbis.ru/page/contractor/dfbb4800-7474-11e6-b370-033f32132283?page=crm&amp;tab=all&amp;anchor=owners"/>
    <hyperlink ref="C86" r:id="rId165" display="sapphire-led.com"/>
    <hyperlink ref="D86" r:id="rId166" display="https://online.sbis.ru/page/contractor/da0cc800-c118-11ed-91a4-04c15bb22283?page=crm"/>
    <hyperlink ref="C87" r:id="rId167" display="interactivedigital.ru"/>
    <hyperlink ref="D87" r:id="rId168" display="https://online.sbis.ru/page/contractor/0a250800-753e-11e6-823d-033f340b2283?page=crm"/>
    <hyperlink ref="C88" r:id="rId169" display="bananabread.pro"/>
    <hyperlink ref="D88" r:id="rId170" display="https://online.sbis.ru/page/contractor/b39bc800-fd2f-11e6-92c3-03574c2c2283?page=crm"/>
    <hyperlink ref="C89" r:id="rId171" display="dixten.com"/>
    <hyperlink ref="D89" r:id="rId172" display="https://online.sbis.ru/page/contractor/b8e9c800-ba25-11e0-a394-00e840312283?page=crm"/>
    <hyperlink ref="C90" r:id="rId173" display="ansystem.ru"/>
    <hyperlink ref="D90" r:id="rId174" display="https://online.sbis.ru/page/contractor/41b30800-fbb0-11eb-b1e0-04280a752283?page=crm"/>
    <hyperlink ref="C91" r:id="rId175" display="elittech.ru"/>
    <hyperlink ref="D91" r:id="rId176" display="https://online.sbis.ru/page/contractor/67214800-af25-11e0-837c-007ec0412283?page=crm&amp;tab=all&amp;anchor=finance"/>
    <hyperlink ref="C92" r:id="rId177" display="elittech.ru"/>
    <hyperlink ref="D92" r:id="rId178" display="https://online.sbis.ru/page/contractor/67214800-af25-11e0-837c-007ec0412283?page=crm"/>
    <hyperlink ref="C93" r:id="rId179" display="onlinecenter.ru"/>
    <hyperlink ref="D93" r:id="rId180" display="https://online.sbis.ru/page/contractor/b8e9c800-ba25-11e0-82cb-00dee6272283?page=crm"/>
    <hyperlink ref="C94" r:id="rId181" display="avisual.ru"/>
    <hyperlink ref="D94" r:id="rId182" display="https://online.sbis.ru/page/contractor/388b0800-d498-11e3-833b-02cc17cd2283?page=crm"/>
    <hyperlink ref="C95" r:id="rId183" display="video-stena.ru"/>
    <hyperlink ref="D95" r:id="rId184" display="https://online.sbis.ru/page/contractor/520b8800-afbc-11e8-a207-03a269f72283?page=crm&amp;tab=all&amp;anchor=tender"/>
    <hyperlink ref="C96" r:id="rId185" display="legion-project.ru"/>
    <hyperlink ref="D96" r:id="rId186" display="https://online.sbis.ru/page/contractor/0f42c800-b701-11e0-b143-00ad5a5f2283?page=crm&amp;tab=all&amp;anchor=owners"/>
    <hyperlink ref="C97" r:id="rId187" display="kvantkm.ru"/>
    <hyperlink ref="D97" r:id="rId188" display="https://online.sbis.ru/page/contractor/60aac800-cb9b-11e1-9bf4-0240ace22283?page=crm"/>
    <hyperlink ref="C98" r:id="rId189" display="triplan.ru"/>
    <hyperlink ref="D98" r:id="rId190" display="https://online.sbis.ru/page/contractor/e10d0800-d2d9-11e2-81ed-02a645752283?page=crm&amp;tab=all&amp;anchor=owners"/>
    <hyperlink ref="C99" r:id="rId191" display="subproject.ru"/>
    <hyperlink ref="D99" r:id="rId192" display="https://online.sbis.ru/page/contractor/6c4d0800-77ac-11eb-9319-04144a6d2283?page=crm&amp;tab=all&amp;anchor=owners"/>
    <hyperlink ref="C100" r:id="rId193" display="smt-tech.ru"/>
    <hyperlink ref="D100" r:id="rId194" display="https://online.sbis.ru/page/contractor/6c4d0800-77ac-11eb-9319-04144a6d2283?page=crm&amp;tab=all&amp;anchor=owners"/>
    <hyperlink ref="C101" r:id="rId195" display="subproject.ru"/>
    <hyperlink ref="D101" r:id="rId196" display="https://online.sbis.ru/page/contractor/6c4d0800-77ac-11eb-9319-04144a6d2283?page=crm&amp;tab=all&amp;anchor=owners"/>
    <hyperlink ref="C102" r:id="rId197" display="viking.ru"/>
    <hyperlink ref="D102" r:id="rId198" display="https://online.sbis.ru/page/contractor/19bc8800-3c7e-11e5-a157-030311c52283?page=crm"/>
    <hyperlink ref="C103" r:id="rId199" display="amtrus.ru"/>
    <hyperlink ref="D103" r:id="rId200" display="https://online.sbis.ru/page/contractor/4d740800-7a7f-11e0-9332-00ed4a762283?page=crm&amp;tab=all&amp;anchor=owners"/>
    <hyperlink ref="C104" r:id="rId201" display="smart-rooms.ru"/>
    <hyperlink ref="D104" r:id="rId202" display="https://online.sbis.ru/page/contractor/912e0800-db39-11e5-b308-032070a22283?page=crm&amp;tab=all&amp;anchor=owners"/>
    <hyperlink ref="C105" r:id="rId203" display="smart-rooms.ru"/>
    <hyperlink ref="D105" r:id="rId204" display="https://online.sbis.ru/page/contractor/912e0800-db39-11e5-b308-032070a22283?page=crm&amp;tab=all&amp;anchor=owners"/>
    <hyperlink ref="C106" r:id="rId205" display="dstools.ru"/>
    <hyperlink ref="D106" r:id="rId206" display="https://online.sbis.ru/page/contractor/33398800-f5f1-11e5-b275-0324d7fd2283?page=crm"/>
    <hyperlink ref="C107" r:id="rId207" display="bls-pro.ru"/>
    <hyperlink ref="D107" r:id="rId208" display="https://online.sbis.ru/page/contractor/86bb4800-991e-11e9-82c0-03c249fa2283?page=crm"/>
    <hyperlink ref="C108" r:id="rId209" display="optimusconsult.ru"/>
    <hyperlink ref="D108" r:id="rId210" display="https://online.sbis.ru/page/contractor/36714800-4605-11e1-9caf-012af9052283?page=crm"/>
    <hyperlink ref="C109" r:id="rId211" display="addreality.com"/>
    <hyperlink ref="D109" r:id="rId212" display="https://online.sbis.ru/page/contractor/420c8800-aeb4-11e2-822f-029340222283?page=crm&amp;tab=all&amp;anchor=owners"/>
    <hyperlink ref="D110" r:id="rId213" display="https://online.sbis.ru/page/contractor/d2714800-d8ab-11ed-b283-04c6af6f2283?page=crm"/>
    <hyperlink ref="D111" r:id="rId214" display="https://online.sbis.ru/page/contractor/0f730800-3234-11e0-9186-00b013512283?page=crm&amp;tab=all&amp;anchor=owners"/>
    <hyperlink ref="C112" r:id="rId215" display="mediascreen.pro"/>
    <hyperlink ref="D112" r:id="rId216" display="https://online.sbis.ru/page/contractor/13ddc800-0def-11ed-a11c-044a96882283?page=crm&amp;tab=all&amp;anchor=finance"/>
    <hyperlink ref="C113" r:id="rId217" display="visiontm.ru"/>
    <hyperlink ref="D113" r:id="rId218" display="https://online.sbis.ru/page/contractor/68a34800-88bd-11dc-822e-00e17b2d2283?page=crm&amp;tab=all&amp;anchor=owners"/>
    <hyperlink ref="C114" r:id="rId219" display="plentystars.com"/>
    <hyperlink ref="D114" r:id="rId220" display="https://online.sbis.ru/page/contractor/9ba0c800-1d54-11e2-a144-023d72722283?page=crm"/>
    <hyperlink ref="C115" r:id="rId221" display="indikotrade.ru"/>
    <hyperlink ref="D115" r:id="rId222" display="https://online.sbis.ru/page/contractor/9b708800-a221-11e2-8279-02a4d2142283?page=crm"/>
    <hyperlink ref="C116" r:id="rId223" display="ledts.ru"/>
    <hyperlink ref="D116" r:id="rId224" display="https://online.sbis.ru/page/contractor/3e440800-ed07-11e8-810f-03aa31a92283?page=crm"/>
    <hyperlink ref="C117" r:id="rId225" display="sv-telekom.ru"/>
    <hyperlink ref="D117" r:id="rId226" display="https://online.sbis.ru/page/contractor/f2614800-53f7-11e9-9198-03b906cc2283?page=crm"/>
    <hyperlink ref="C118" r:id="rId227" display="avi-systems.ru"/>
    <hyperlink ref="D118" r:id="rId228" display="https://online.sbis.ru/page/contractor/99268800-985b-11e0-9147-00e64f8b2283?page=crm&amp;tab=all&amp;anchor=owners"/>
    <hyperlink ref="C119" r:id="rId229" display="1000inch.ru"/>
    <hyperlink ref="D119" r:id="rId230" display="https://online.sbis.ru/page/contractor/3a40c800-4b14-11e3-91d4-02a756882283?page=crm"/>
    <hyperlink ref="C120" r:id="rId231" display="ekranpro.ru"/>
    <hyperlink ref="D120" r:id="rId232" display="https://online.sbis.ru/page/contractor/3b928800-a979-11df-b2cd-0071caea2283?page=crm"/>
    <hyperlink ref="C121" r:id="rId233" display="tefra-audio.ru"/>
    <hyperlink ref="D121" r:id="rId234" display="https://online.sbis.ru/page/contractor/192f4800-ec96-11ea-8117-03fdaa032283?page=crm"/>
    <hyperlink ref="C122" r:id="rId235" display="mile-pro.ru"/>
    <hyperlink ref="D122" r:id="rId236" display="https://online.sbis.ru/page/contractor/c57d4800-ce35-11e7-9463-037788602283?page=crm&amp;tab=all&amp;anchor=owners"/>
    <hyperlink ref="C123" r:id="rId237" display="pa-pro.ru"/>
    <hyperlink ref="D123" r:id="rId238" display="https://online.sbis.ru/page/contractor/2b064800-5889-11df-93eb-006c81ff2283?page=crm&amp;tab=all&amp;anchor=owners"/>
    <hyperlink ref="C124" r:id="rId239" display="kits-pro.ru"/>
    <hyperlink ref="D124" r:id="rId240" display="https://online.sbis.ru/page/contractor/19ecc800-b7b1-11e4-8f55-02eeeabd2283?page=crm"/>
    <hyperlink ref="C125" r:id="rId241" display="avms.ru"/>
    <hyperlink ref="D125" r:id="rId242" display="https://online.sbis.ru/page/contractor/5d6f8800-59d6-11e2-a2a7-025312f92283?page=crm&amp;tab=all&amp;anchor=owners"/>
    <hyperlink ref="C126" r:id="rId243" display="avclub.pro"/>
    <hyperlink ref="D126" r:id="rId244" display="https://online.sbis.ru/page/contractor/aaa78800-72fb-11e2-857a-02a450c62283?page=crm&amp;tab=all&amp;anchor=owners"/>
    <hyperlink ref="C127" r:id="rId245" display="kvmtech.ru"/>
    <hyperlink ref="D127" r:id="rId246" display="https://online.sbis.ru/page/contractor/656b8800-38a9-11e1-b1c5-012c4f202283?page=crm"/>
    <hyperlink ref="C128" r:id="rId247" display="visualpoint.ru"/>
    <hyperlink ref="D128" r:id="rId248" display="https://online.sbis.ru/page/contractor/0255c800-efed-11e2-93c3-0314e8ed2283?page=crm"/>
    <hyperlink ref="C129" r:id="rId249" display="initium.ru"/>
    <hyperlink ref="D129" r:id="rId250" display="https://online.sbis.ru/page/contractor/beffc800-a749-11e0-adbd-00f2ea602283?page=crm"/>
    <hyperlink ref="D130" r:id="rId251" display="https://online.sbis.ru/page/contractor/a5e6c800-05ed-11e3-af10-02a4ac162283?page=crm"/>
    <hyperlink ref="C131" r:id="rId252" display="visualeader.ru"/>
    <hyperlink ref="D131" r:id="rId253" display="https://online.sbis.ru/page/contractor/849a8800-c729-11de-a1d2-00e8fb302283?page=crm"/>
    <hyperlink ref="C132" r:id="rId254" display="lightdec.ru"/>
    <hyperlink ref="D132" r:id="rId255" display="https://online.sbis.ru/page/contractor/82bf0800-3a8d-11ec-a3ba-042fb85c2283?page=crm"/>
    <hyperlink ref="C133" r:id="rId256" display="digisky.ru"/>
    <hyperlink ref="D133" r:id="rId257" display="https://online.sbis.ru/page/contractor/6c15c800-b917-11e3-a228-02be79af2283?page=crm"/>
    <hyperlink ref="C134" r:id="rId258" display="8ohm.ru"/>
    <hyperlink ref="D134" r:id="rId259" display="https://online.sbis.ru/page/contractor/5c7ac800-d026-11e0-8264-01283dbf2283?page=crm&amp;tab=all&amp;anchor=owners"/>
    <hyperlink ref="C135" r:id="rId260" display="luxeng.ru"/>
    <hyperlink ref="C136" r:id="rId261" display="mediamontazh.ru"/>
    <hyperlink ref="D136" r:id="rId262" display="https://online.sbis.ru/page/contractor/da9a0800-1100-11e8-b67f-0380057a2283?page=crm&amp;tab=all&amp;anchor=owners"/>
    <hyperlink ref="C137" r:id="rId263" display="elementmedia.ru"/>
    <hyperlink ref="D137" r:id="rId264" display="213000322164"/>
    <hyperlink ref="C138" r:id="rId265" display="rivelty.ru"/>
    <hyperlink ref="D138" r:id="rId266" display="https://online.sbis.ru/page/contractor/584ac800-d4b1-11df-b3de-00abbf852283?page=crm"/>
    <hyperlink ref="C139" r:id="rId267" display="hiteks.ru"/>
    <hyperlink ref="D139" r:id="rId268" display="https://online.sbis.ru/page/contractor/d578c800-ad8c-11e9-ad2e-03c4ddd42283?page=crm"/>
    <hyperlink ref="C140" r:id="rId269" display="i-tec.ru"/>
    <hyperlink ref="D140" r:id="rId270" display="https://online.sbis.ru/page/contractor/8e800800-b95c-11e0-a242-012357e72283?page=crm&amp;tab=all&amp;anchor=owners"/>
    <hyperlink ref="C141" r:id="rId271" display="aktru.video"/>
    <hyperlink ref="D141" r:id="rId272" display="https://online.sbis.ru/page/contractor/7af34800-d6ed-11ec-937e-044489942283?page=crm"/>
    <hyperlink ref="C142" r:id="rId273" display="redsector.ru"/>
    <hyperlink ref="D142" r:id="rId274" display="https://online.sbis.ru/page/contractor/b9aac800-a6f1-11de-9345-007d042b2283?page=crm"/>
    <hyperlink ref="C143" r:id="rId275" display="ledinstall.ru"/>
    <hyperlink ref="D143" r:id="rId276" display="https://online.sbis.ru/page/contractor/9777c800-6541-11e9-a06e-03bbb1d52283?page=crm"/>
    <hyperlink ref="C144" r:id="rId277" display="amiled.ru"/>
    <hyperlink ref="D144" r:id="rId278" display="https://online.sbis.ru/page/contractor/98fd4800-608a-11e9-9f68-03bb4c242283?page=crm"/>
    <hyperlink ref="C145" r:id="rId279" display="optimusconsult.ru"/>
    <hyperlink ref="D145" r:id="rId280" display="https://online.sbis.ru/page/contractor/f3b68800-d40d-11e9-b33e-03debb7f2283?page=crm"/>
    <hyperlink ref="C146" r:id="rId281" display="alfabetmedia.ru"/>
    <hyperlink ref="D146" r:id="rId282" display="https://online.sbis.ru/page/contractor/da398800-1a9a-11e9-a187-03b055402283?page=crm"/>
    <hyperlink ref="C147" r:id="rId283" display="vidavision.ru"/>
    <hyperlink ref="D147" r:id="rId284" display="https://online.sbis.ru/page/contractor/bbaf3780-f276-11e0-9311-00b1ba372283?page=crm"/>
    <hyperlink ref="C148" r:id="rId285" display="xplora.ru"/>
    <hyperlink ref="D148" r:id="rId286" display="https://online.sbis.ru/page/contractor/411b4800-46b5-11e5-9725-0309464a2283?page=crm"/>
    <hyperlink ref="C149" r:id="rId287" display="edisonmedia.ru"/>
    <hyperlink ref="D149" r:id="rId288" display="https://online.sbis.ru/page/contractor/756a8800-39b1-11e7-b3f1-036660732283?page=crm&amp;tab=all&amp;anchor=finance"/>
    <hyperlink ref="C150" r:id="rId289" display="addreality.com"/>
    <hyperlink ref="D150" r:id="rId290" display="https://online.sbis.ru/page/contractor/402a0800-deb6-11e7-8117-03799f652283?page=crm"/>
    <hyperlink ref="C151" r:id="rId291" display="lifesound.ru"/>
    <hyperlink ref="D151" r:id="rId292" display="https://online.sbis.ru/page/contractor/acc14800-018e-11e5-82cc-03074cc52283?page=crm&amp;tab=all&amp;anchor=owners"/>
    <hyperlink ref="C152" r:id="rId293" display="mediasett.ru"/>
    <hyperlink ref="D152" r:id="rId294" display="https://online.sbis.ru/page/contractor/4ddb8800-b447-11e7-837b-0374af272283?page=crm&amp;tab=all&amp;anchor=finance"/>
    <hyperlink ref="C153" r:id="rId295" display="effort-group.ru"/>
    <hyperlink ref="D153" r:id="rId296" display="https://online.sbis.ru/page/contractor/186ac800-de19-11e8-8339-03a86a682283?page=crm"/>
    <hyperlink ref="C154" r:id="rId297" display="xpertnet.cx"/>
    <hyperlink ref="D154" r:id="rId298" display="https://online.sbis.ru/page/contractor/7f804800-a717-11e8-9a67-03a0526b2283?page=crm&amp;tab=all&amp;anchor=owners"/>
    <hyperlink ref="C155" r:id="rId299" display="lifeinteractive.ru"/>
    <hyperlink ref="D155" r:id="rId300" display="https://online.sbis.ru/page/contractor/dd0d4800-5297-11e1-b28a-0191bd7d2283?page=crm&amp;tab=all&amp;anchor=finance"/>
    <hyperlink ref="C156" r:id="rId301" display="avind.ru"/>
    <hyperlink ref="D156" r:id="rId302" display="https://online.sbis.ru/page/contractor/7aefc800-b53c-11e8-811d-03a30ad52283?page=crm"/>
    <hyperlink ref="C157" r:id="rId303" display="av3.ru"/>
    <hyperlink ref="D157" r:id="rId304" display="772458366967"/>
    <hyperlink ref="C158" r:id="rId305" display="hello.io"/>
    <hyperlink ref="C159" r:id="rId306" display="led-berry.ru"/>
    <hyperlink ref="C160" r:id="rId307" display="becsys.ru"/>
    <hyperlink ref="C161" r:id="rId308" display="apex-led.ru"/>
    <hyperlink ref="D161" r:id="rId309" display="https://online.sbis.ru/page/contractor/69d291e0-84ab-11ee-a7fa-04ef0aae2283?page=crm"/>
    <hyperlink ref="C162" r:id="rId310" display="scsmedia.ru"/>
    <hyperlink ref="C163" r:id="rId311" display="rent4all.ru"/>
    <hyperlink ref="C164" r:id="rId312" display="inmax.ru"/>
    <hyperlink ref="C165" r:id="rId313" display="livesound.agency"/>
    <hyperlink ref="D165" r:id="rId314" display="https://online.sbis.ru/page/contractor/42090800-8d03-11de-83e9-00c81d802283?page=crm"/>
    <hyperlink ref="C166" r:id="rId315" display="illuminarium3000.com"/>
    <hyperlink ref="D166" r:id="rId316" display="https://online.sbis.ru/page/contractor/4c7f4800-f0cf-11de-b37a-00ab12fa2283?page=crm"/>
    <hyperlink ref="C167" r:id="rId317" display="avtechno.ru"/>
    <hyperlink ref="C168" r:id="rId318" display="itprogressor.ru"/>
    <hyperlink ref="C169" r:id="rId319" display="artel-media.com"/>
    <hyperlink ref="C170" r:id="rId320" display="ast-telecom.ru"/>
    <hyperlink ref="C171" r:id="rId321" display="ad-f.ru"/>
    <hyperlink ref="C172" r:id="rId322" display="www.via-tek.ru"/>
    <hyperlink ref="C173" r:id="rId323" display="pvt-corp.ru"/>
    <hyperlink ref="C174" r:id="rId324" display="avc.ru"/>
    <hyperlink ref="C175" r:id="rId325" display="63smart.ru"/>
    <hyperlink ref="C176" r:id="rId326" display="av-i.ru"/>
    <hyperlink ref="C178" r:id="rId327" display="intmedia.ru"/>
    <hyperlink ref="C180" r:id="rId328" display="av-forge.com"/>
    <hyperlink ref="C181" r:id="rId329" display="inmax.ru"/>
    <hyperlink ref="C182" r:id="rId330" display="mmedia-s.ru"/>
    <hyperlink ref="C183" r:id="rId331" display="nextta.ru"/>
    <hyperlink ref="C184" r:id="rId332" display="medi-on.ru"/>
    <hyperlink ref="C185" r:id="rId333" display="mediaengin.ru"/>
    <hyperlink ref="C186" r:id="rId334" display="manufaqtury.com"/>
    <hyperlink ref="C187" r:id="rId335" display="видновсем.рф"/>
    <hyperlink ref="C188" r:id="rId336" display="vdex.ru"/>
    <hyperlink ref="C189" r:id="rId337" display="apex-led.ru"/>
    <hyperlink ref="D189" r:id="rId338" display="https://online.sbis.ru/page/contractor/69d291e0-84ab-11ee-a7fa-04ef0aae2283?page=crm"/>
    <hyperlink ref="C191" r:id="rId339" display="tehno-mebel.ru"/>
    <hyperlink ref="C192" r:id="rId340" display="sanindelaetvideo.com"/>
    <hyperlink ref="C193" r:id="rId341" display="toxmedia.ru"/>
    <hyperlink ref="C194" r:id="rId342" display="softlab-mm.ru"/>
    <hyperlink ref="C195" r:id="rId343" display="it-tehstore.ru"/>
    <hyperlink ref="C196" r:id="rId344" display="addrea.com"/>
    <hyperlink ref="C197" r:id="rId345" display="a4.ru"/>
    <hyperlink ref="C198" r:id="rId346" display="ddm-sound.ru"/>
    <hyperlink ref="C199" r:id="rId347" display="euclid.ru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48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5078125" defaultRowHeight="15" zeroHeight="false" outlineLevelRow="0" outlineLevelCol="0"/>
  <cols>
    <col collapsed="false" customWidth="true" hidden="false" outlineLevel="0" max="1" min="1" style="0" width="8.67"/>
    <col collapsed="false" customWidth="true" hidden="false" outlineLevel="0" max="2" min="2" style="0" width="26.5"/>
    <col collapsed="false" customWidth="true" hidden="false" outlineLevel="0" max="3" min="3" style="0" width="14.67"/>
    <col collapsed="false" customWidth="true" hidden="false" outlineLevel="0" max="26" min="4" style="0" width="8.67"/>
  </cols>
  <sheetData>
    <row r="1" customFormat="false" ht="15" hidden="false" customHeight="false" outlineLevel="0" collapsed="false">
      <c r="C1" s="34"/>
    </row>
    <row r="2" customFormat="false" ht="15" hidden="false" customHeight="false" outlineLevel="0" collapsed="false">
      <c r="B2" s="35" t="s">
        <v>1247</v>
      </c>
      <c r="C2" s="34" t="n">
        <v>100000</v>
      </c>
    </row>
    <row r="3" customFormat="false" ht="15" hidden="false" customHeight="false" outlineLevel="0" collapsed="false">
      <c r="B3" s="35" t="s">
        <v>1248</v>
      </c>
      <c r="C3" s="36"/>
    </row>
    <row r="4" customFormat="false" ht="15" hidden="false" customHeight="false" outlineLevel="0" collapsed="false">
      <c r="B4" s="35" t="s">
        <v>1249</v>
      </c>
      <c r="C4" s="36"/>
    </row>
    <row r="5" customFormat="false" ht="15" hidden="false" customHeight="false" outlineLevel="0" collapsed="false">
      <c r="C5" s="34"/>
    </row>
    <row r="6" customFormat="false" ht="15" hidden="false" customHeight="false" outlineLevel="0" collapsed="false">
      <c r="C6" s="34"/>
    </row>
    <row r="7" customFormat="false" ht="15" hidden="false" customHeight="false" outlineLevel="0" collapsed="false">
      <c r="C7" s="34"/>
    </row>
    <row r="8" customFormat="false" ht="15" hidden="false" customHeight="false" outlineLevel="0" collapsed="false">
      <c r="C8" s="34"/>
    </row>
    <row r="9" customFormat="false" ht="15" hidden="false" customHeight="false" outlineLevel="0" collapsed="false">
      <c r="B9" s="35" t="s">
        <v>1250</v>
      </c>
      <c r="C9" s="34"/>
    </row>
    <row r="10" customFormat="false" ht="15" hidden="false" customHeight="false" outlineLevel="0" collapsed="false">
      <c r="B10" s="35" t="s">
        <v>1251</v>
      </c>
      <c r="C10" s="34"/>
    </row>
    <row r="11" customFormat="false" ht="15" hidden="false" customHeight="false" outlineLevel="0" collapsed="false">
      <c r="B11" s="35" t="s">
        <v>1252</v>
      </c>
      <c r="C11" s="34"/>
    </row>
    <row r="12" customFormat="false" ht="15" hidden="false" customHeight="false" outlineLevel="0" collapsed="false">
      <c r="C12" s="34"/>
    </row>
    <row r="13" customFormat="false" ht="15" hidden="false" customHeight="false" outlineLevel="0" collapsed="false">
      <c r="C13" s="34"/>
    </row>
    <row r="14" customFormat="false" ht="15" hidden="false" customHeight="false" outlineLevel="0" collapsed="false">
      <c r="C14" s="34"/>
    </row>
    <row r="15" customFormat="false" ht="15" hidden="false" customHeight="false" outlineLevel="0" collapsed="false">
      <c r="C15" s="34"/>
    </row>
    <row r="16" customFormat="false" ht="15" hidden="false" customHeight="false" outlineLevel="0" collapsed="false">
      <c r="C16" s="34"/>
    </row>
    <row r="17" customFormat="false" ht="15" hidden="false" customHeight="false" outlineLevel="0" collapsed="false">
      <c r="C17" s="34"/>
    </row>
    <row r="18" customFormat="false" ht="15" hidden="false" customHeight="false" outlineLevel="0" collapsed="false">
      <c r="C18" s="34"/>
    </row>
    <row r="19" customFormat="false" ht="15" hidden="false" customHeight="false" outlineLevel="0" collapsed="false">
      <c r="C19" s="34"/>
    </row>
    <row r="20" customFormat="false" ht="15" hidden="false" customHeight="false" outlineLevel="0" collapsed="false">
      <c r="C20" s="34"/>
    </row>
    <row r="21" customFormat="false" ht="15.75" hidden="false" customHeight="true" outlineLevel="0" collapsed="false">
      <c r="C21" s="34"/>
    </row>
    <row r="22" customFormat="false" ht="15.75" hidden="false" customHeight="true" outlineLevel="0" collapsed="false">
      <c r="C22" s="34"/>
    </row>
    <row r="23" customFormat="false" ht="15.75" hidden="false" customHeight="true" outlineLevel="0" collapsed="false">
      <c r="C23" s="34"/>
    </row>
    <row r="24" customFormat="false" ht="15.75" hidden="false" customHeight="true" outlineLevel="0" collapsed="false">
      <c r="C24" s="34"/>
    </row>
    <row r="25" customFormat="false" ht="15.75" hidden="false" customHeight="true" outlineLevel="0" collapsed="false">
      <c r="C25" s="34"/>
    </row>
    <row r="26" customFormat="false" ht="15.75" hidden="false" customHeight="true" outlineLevel="0" collapsed="false">
      <c r="C26" s="34"/>
    </row>
    <row r="27" customFormat="false" ht="15.75" hidden="false" customHeight="true" outlineLevel="0" collapsed="false">
      <c r="C27" s="34"/>
    </row>
    <row r="28" customFormat="false" ht="15.75" hidden="false" customHeight="true" outlineLevel="0" collapsed="false">
      <c r="C28" s="34"/>
    </row>
    <row r="29" customFormat="false" ht="15.75" hidden="false" customHeight="true" outlineLevel="0" collapsed="false">
      <c r="C29" s="34"/>
    </row>
    <row r="30" customFormat="false" ht="15.75" hidden="false" customHeight="true" outlineLevel="0" collapsed="false">
      <c r="C30" s="34"/>
    </row>
    <row r="31" customFormat="false" ht="15.75" hidden="false" customHeight="true" outlineLevel="0" collapsed="false">
      <c r="C31" s="34"/>
    </row>
    <row r="32" customFormat="false" ht="15.75" hidden="false" customHeight="true" outlineLevel="0" collapsed="false">
      <c r="C32" s="34"/>
    </row>
    <row r="33" customFormat="false" ht="15.75" hidden="false" customHeight="true" outlineLevel="0" collapsed="false">
      <c r="C33" s="34"/>
    </row>
    <row r="34" customFormat="false" ht="15.75" hidden="false" customHeight="true" outlineLevel="0" collapsed="false">
      <c r="C34" s="34"/>
    </row>
    <row r="35" customFormat="false" ht="15.75" hidden="false" customHeight="true" outlineLevel="0" collapsed="false">
      <c r="C35" s="34"/>
    </row>
    <row r="36" customFormat="false" ht="15.75" hidden="false" customHeight="true" outlineLevel="0" collapsed="false">
      <c r="C36" s="34"/>
    </row>
    <row r="37" customFormat="false" ht="15.75" hidden="false" customHeight="true" outlineLevel="0" collapsed="false">
      <c r="C37" s="34"/>
    </row>
    <row r="38" customFormat="false" ht="15.75" hidden="false" customHeight="true" outlineLevel="0" collapsed="false">
      <c r="C38" s="34"/>
    </row>
    <row r="39" customFormat="false" ht="15.75" hidden="false" customHeight="true" outlineLevel="0" collapsed="false">
      <c r="C39" s="34"/>
    </row>
    <row r="40" customFormat="false" ht="15.75" hidden="false" customHeight="true" outlineLevel="0" collapsed="false">
      <c r="C40" s="34"/>
    </row>
    <row r="41" customFormat="false" ht="15.75" hidden="false" customHeight="true" outlineLevel="0" collapsed="false">
      <c r="C41" s="34"/>
    </row>
    <row r="42" customFormat="false" ht="15.75" hidden="false" customHeight="true" outlineLevel="0" collapsed="false">
      <c r="C42" s="34"/>
    </row>
    <row r="43" customFormat="false" ht="15.75" hidden="false" customHeight="true" outlineLevel="0" collapsed="false">
      <c r="C43" s="34"/>
    </row>
    <row r="44" customFormat="false" ht="15.75" hidden="false" customHeight="true" outlineLevel="0" collapsed="false">
      <c r="C44" s="34"/>
    </row>
    <row r="45" customFormat="false" ht="15.75" hidden="false" customHeight="true" outlineLevel="0" collapsed="false">
      <c r="C45" s="34"/>
    </row>
    <row r="46" customFormat="false" ht="15.75" hidden="false" customHeight="true" outlineLevel="0" collapsed="false">
      <c r="C46" s="34"/>
    </row>
    <row r="47" customFormat="false" ht="15.75" hidden="false" customHeight="true" outlineLevel="0" collapsed="false">
      <c r="C47" s="34"/>
    </row>
    <row r="48" customFormat="false" ht="15.75" hidden="false" customHeight="true" outlineLevel="0" collapsed="false">
      <c r="C48" s="34"/>
    </row>
    <row r="49" customFormat="false" ht="15.75" hidden="false" customHeight="true" outlineLevel="0" collapsed="false">
      <c r="C49" s="34"/>
    </row>
    <row r="50" customFormat="false" ht="15.75" hidden="false" customHeight="true" outlineLevel="0" collapsed="false">
      <c r="C50" s="34"/>
    </row>
    <row r="51" customFormat="false" ht="15.75" hidden="false" customHeight="true" outlineLevel="0" collapsed="false">
      <c r="C51" s="34"/>
    </row>
    <row r="52" customFormat="false" ht="15.75" hidden="false" customHeight="true" outlineLevel="0" collapsed="false">
      <c r="C52" s="34"/>
    </row>
    <row r="53" customFormat="false" ht="15.75" hidden="false" customHeight="true" outlineLevel="0" collapsed="false">
      <c r="C53" s="34"/>
    </row>
    <row r="54" customFormat="false" ht="15.75" hidden="false" customHeight="true" outlineLevel="0" collapsed="false">
      <c r="C54" s="34"/>
    </row>
    <row r="55" customFormat="false" ht="15.75" hidden="false" customHeight="true" outlineLevel="0" collapsed="false">
      <c r="C55" s="34"/>
    </row>
    <row r="56" customFormat="false" ht="15.75" hidden="false" customHeight="true" outlineLevel="0" collapsed="false">
      <c r="C56" s="34"/>
    </row>
    <row r="57" customFormat="false" ht="15.75" hidden="false" customHeight="true" outlineLevel="0" collapsed="false">
      <c r="C57" s="34"/>
    </row>
    <row r="58" customFormat="false" ht="15.75" hidden="false" customHeight="true" outlineLevel="0" collapsed="false">
      <c r="C58" s="34"/>
    </row>
    <row r="59" customFormat="false" ht="15.75" hidden="false" customHeight="true" outlineLevel="0" collapsed="false">
      <c r="C59" s="34"/>
    </row>
    <row r="60" customFormat="false" ht="15.75" hidden="false" customHeight="true" outlineLevel="0" collapsed="false">
      <c r="C60" s="34"/>
    </row>
    <row r="61" customFormat="false" ht="15.75" hidden="false" customHeight="true" outlineLevel="0" collapsed="false">
      <c r="C61" s="34"/>
    </row>
    <row r="62" customFormat="false" ht="15.75" hidden="false" customHeight="true" outlineLevel="0" collapsed="false">
      <c r="C62" s="34"/>
    </row>
    <row r="63" customFormat="false" ht="15.75" hidden="false" customHeight="true" outlineLevel="0" collapsed="false">
      <c r="C63" s="34"/>
    </row>
    <row r="64" customFormat="false" ht="15.75" hidden="false" customHeight="true" outlineLevel="0" collapsed="false">
      <c r="C64" s="34"/>
    </row>
    <row r="65" customFormat="false" ht="15.75" hidden="false" customHeight="true" outlineLevel="0" collapsed="false">
      <c r="C65" s="34"/>
    </row>
    <row r="66" customFormat="false" ht="15.75" hidden="false" customHeight="true" outlineLevel="0" collapsed="false">
      <c r="C66" s="34"/>
    </row>
    <row r="67" customFormat="false" ht="15.75" hidden="false" customHeight="true" outlineLevel="0" collapsed="false">
      <c r="C67" s="34"/>
    </row>
    <row r="68" customFormat="false" ht="15.75" hidden="false" customHeight="true" outlineLevel="0" collapsed="false">
      <c r="C68" s="34"/>
    </row>
    <row r="69" customFormat="false" ht="15.75" hidden="false" customHeight="true" outlineLevel="0" collapsed="false">
      <c r="C69" s="34"/>
    </row>
    <row r="70" customFormat="false" ht="15.75" hidden="false" customHeight="true" outlineLevel="0" collapsed="false">
      <c r="C70" s="34"/>
    </row>
    <row r="71" customFormat="false" ht="15.75" hidden="false" customHeight="true" outlineLevel="0" collapsed="false">
      <c r="C71" s="34"/>
    </row>
    <row r="72" customFormat="false" ht="15.75" hidden="false" customHeight="true" outlineLevel="0" collapsed="false">
      <c r="C72" s="34"/>
    </row>
    <row r="73" customFormat="false" ht="15.75" hidden="false" customHeight="true" outlineLevel="0" collapsed="false">
      <c r="C73" s="34"/>
    </row>
    <row r="74" customFormat="false" ht="15.75" hidden="false" customHeight="true" outlineLevel="0" collapsed="false">
      <c r="C74" s="34"/>
    </row>
    <row r="75" customFormat="false" ht="15.75" hidden="false" customHeight="true" outlineLevel="0" collapsed="false">
      <c r="C75" s="34"/>
    </row>
    <row r="76" customFormat="false" ht="15.75" hidden="false" customHeight="true" outlineLevel="0" collapsed="false">
      <c r="C76" s="34"/>
    </row>
    <row r="77" customFormat="false" ht="15.75" hidden="false" customHeight="true" outlineLevel="0" collapsed="false">
      <c r="C77" s="34"/>
    </row>
    <row r="78" customFormat="false" ht="15.75" hidden="false" customHeight="true" outlineLevel="0" collapsed="false">
      <c r="C78" s="34"/>
    </row>
    <row r="79" customFormat="false" ht="15.75" hidden="false" customHeight="true" outlineLevel="0" collapsed="false">
      <c r="C79" s="34"/>
    </row>
    <row r="80" customFormat="false" ht="15.75" hidden="false" customHeight="true" outlineLevel="0" collapsed="false">
      <c r="C80" s="34"/>
    </row>
    <row r="81" customFormat="false" ht="15.75" hidden="false" customHeight="true" outlineLevel="0" collapsed="false">
      <c r="C81" s="34"/>
    </row>
    <row r="82" customFormat="false" ht="15.75" hidden="false" customHeight="true" outlineLevel="0" collapsed="false">
      <c r="C82" s="34"/>
    </row>
    <row r="83" customFormat="false" ht="15.75" hidden="false" customHeight="true" outlineLevel="0" collapsed="false">
      <c r="C83" s="34"/>
    </row>
    <row r="84" customFormat="false" ht="15.75" hidden="false" customHeight="true" outlineLevel="0" collapsed="false">
      <c r="C84" s="34"/>
    </row>
    <row r="85" customFormat="false" ht="15.75" hidden="false" customHeight="true" outlineLevel="0" collapsed="false">
      <c r="C85" s="34"/>
    </row>
    <row r="86" customFormat="false" ht="15.75" hidden="false" customHeight="true" outlineLevel="0" collapsed="false">
      <c r="C86" s="34"/>
    </row>
    <row r="87" customFormat="false" ht="15.75" hidden="false" customHeight="true" outlineLevel="0" collapsed="false">
      <c r="C87" s="34"/>
    </row>
    <row r="88" customFormat="false" ht="15.75" hidden="false" customHeight="true" outlineLevel="0" collapsed="false">
      <c r="C88" s="34"/>
    </row>
    <row r="89" customFormat="false" ht="15.75" hidden="false" customHeight="true" outlineLevel="0" collapsed="false">
      <c r="C89" s="34"/>
    </row>
    <row r="90" customFormat="false" ht="15.75" hidden="false" customHeight="true" outlineLevel="0" collapsed="false">
      <c r="C90" s="34"/>
    </row>
    <row r="91" customFormat="false" ht="15.75" hidden="false" customHeight="true" outlineLevel="0" collapsed="false">
      <c r="C91" s="34"/>
    </row>
    <row r="92" customFormat="false" ht="15.75" hidden="false" customHeight="true" outlineLevel="0" collapsed="false">
      <c r="C92" s="34"/>
    </row>
    <row r="93" customFormat="false" ht="15.75" hidden="false" customHeight="true" outlineLevel="0" collapsed="false">
      <c r="C93" s="34"/>
    </row>
    <row r="94" customFormat="false" ht="15.75" hidden="false" customHeight="true" outlineLevel="0" collapsed="false">
      <c r="C94" s="34"/>
    </row>
    <row r="95" customFormat="false" ht="15.75" hidden="false" customHeight="true" outlineLevel="0" collapsed="false">
      <c r="C95" s="34"/>
    </row>
    <row r="96" customFormat="false" ht="15.75" hidden="false" customHeight="true" outlineLevel="0" collapsed="false">
      <c r="C96" s="34"/>
    </row>
    <row r="97" customFormat="false" ht="15.75" hidden="false" customHeight="true" outlineLevel="0" collapsed="false">
      <c r="C97" s="34"/>
    </row>
    <row r="98" customFormat="false" ht="15.75" hidden="false" customHeight="true" outlineLevel="0" collapsed="false">
      <c r="C98" s="34"/>
    </row>
    <row r="99" customFormat="false" ht="15.75" hidden="false" customHeight="true" outlineLevel="0" collapsed="false">
      <c r="C99" s="34"/>
    </row>
    <row r="100" customFormat="false" ht="15.75" hidden="false" customHeight="true" outlineLevel="0" collapsed="false">
      <c r="C100" s="34"/>
    </row>
    <row r="101" customFormat="false" ht="15.75" hidden="false" customHeight="true" outlineLevel="0" collapsed="false">
      <c r="C101" s="34"/>
    </row>
    <row r="102" customFormat="false" ht="15.75" hidden="false" customHeight="true" outlineLevel="0" collapsed="false">
      <c r="C102" s="34"/>
    </row>
    <row r="103" customFormat="false" ht="15.75" hidden="false" customHeight="true" outlineLevel="0" collapsed="false">
      <c r="C103" s="34"/>
    </row>
    <row r="104" customFormat="false" ht="15.75" hidden="false" customHeight="true" outlineLevel="0" collapsed="false">
      <c r="C104" s="34"/>
    </row>
    <row r="105" customFormat="false" ht="15.75" hidden="false" customHeight="true" outlineLevel="0" collapsed="false">
      <c r="C105" s="34"/>
    </row>
    <row r="106" customFormat="false" ht="15.75" hidden="false" customHeight="true" outlineLevel="0" collapsed="false">
      <c r="C106" s="34"/>
    </row>
    <row r="107" customFormat="false" ht="15.75" hidden="false" customHeight="true" outlineLevel="0" collapsed="false">
      <c r="C107" s="34"/>
    </row>
    <row r="108" customFormat="false" ht="15.75" hidden="false" customHeight="true" outlineLevel="0" collapsed="false">
      <c r="C108" s="34"/>
    </row>
    <row r="109" customFormat="false" ht="15.75" hidden="false" customHeight="true" outlineLevel="0" collapsed="false">
      <c r="C109" s="34"/>
    </row>
    <row r="110" customFormat="false" ht="15.75" hidden="false" customHeight="true" outlineLevel="0" collapsed="false">
      <c r="C110" s="34"/>
    </row>
    <row r="111" customFormat="false" ht="15.75" hidden="false" customHeight="true" outlineLevel="0" collapsed="false">
      <c r="C111" s="34"/>
    </row>
    <row r="112" customFormat="false" ht="15.75" hidden="false" customHeight="true" outlineLevel="0" collapsed="false">
      <c r="C112" s="34"/>
    </row>
    <row r="113" customFormat="false" ht="15.75" hidden="false" customHeight="true" outlineLevel="0" collapsed="false">
      <c r="C113" s="34"/>
    </row>
    <row r="114" customFormat="false" ht="15.75" hidden="false" customHeight="true" outlineLevel="0" collapsed="false">
      <c r="C114" s="34"/>
    </row>
    <row r="115" customFormat="false" ht="15.75" hidden="false" customHeight="true" outlineLevel="0" collapsed="false">
      <c r="C115" s="34"/>
    </row>
    <row r="116" customFormat="false" ht="15.75" hidden="false" customHeight="true" outlineLevel="0" collapsed="false">
      <c r="C116" s="34"/>
    </row>
    <row r="117" customFormat="false" ht="15.75" hidden="false" customHeight="true" outlineLevel="0" collapsed="false">
      <c r="C117" s="34"/>
    </row>
    <row r="118" customFormat="false" ht="15.75" hidden="false" customHeight="true" outlineLevel="0" collapsed="false">
      <c r="C118" s="34"/>
    </row>
    <row r="119" customFormat="false" ht="15.75" hidden="false" customHeight="true" outlineLevel="0" collapsed="false">
      <c r="C119" s="34"/>
    </row>
    <row r="120" customFormat="false" ht="15.75" hidden="false" customHeight="true" outlineLevel="0" collapsed="false">
      <c r="C120" s="34"/>
    </row>
    <row r="121" customFormat="false" ht="15.75" hidden="false" customHeight="true" outlineLevel="0" collapsed="false">
      <c r="C121" s="34"/>
    </row>
    <row r="122" customFormat="false" ht="15.75" hidden="false" customHeight="true" outlineLevel="0" collapsed="false">
      <c r="C122" s="34"/>
    </row>
    <row r="123" customFormat="false" ht="15.75" hidden="false" customHeight="true" outlineLevel="0" collapsed="false">
      <c r="C123" s="34"/>
    </row>
    <row r="124" customFormat="false" ht="15.75" hidden="false" customHeight="true" outlineLevel="0" collapsed="false">
      <c r="C124" s="34"/>
    </row>
    <row r="125" customFormat="false" ht="15.75" hidden="false" customHeight="true" outlineLevel="0" collapsed="false">
      <c r="C125" s="34"/>
    </row>
    <row r="126" customFormat="false" ht="15.75" hidden="false" customHeight="true" outlineLevel="0" collapsed="false">
      <c r="C126" s="34"/>
    </row>
    <row r="127" customFormat="false" ht="15.75" hidden="false" customHeight="true" outlineLevel="0" collapsed="false">
      <c r="C127" s="34"/>
    </row>
    <row r="128" customFormat="false" ht="15.75" hidden="false" customHeight="true" outlineLevel="0" collapsed="false">
      <c r="C128" s="34"/>
    </row>
    <row r="129" customFormat="false" ht="15.75" hidden="false" customHeight="true" outlineLevel="0" collapsed="false">
      <c r="C129" s="34"/>
    </row>
    <row r="130" customFormat="false" ht="15.75" hidden="false" customHeight="true" outlineLevel="0" collapsed="false">
      <c r="C130" s="34"/>
    </row>
    <row r="131" customFormat="false" ht="15.75" hidden="false" customHeight="true" outlineLevel="0" collapsed="false">
      <c r="C131" s="34"/>
    </row>
    <row r="132" customFormat="false" ht="15.75" hidden="false" customHeight="true" outlineLevel="0" collapsed="false">
      <c r="C132" s="34"/>
    </row>
    <row r="133" customFormat="false" ht="15.75" hidden="false" customHeight="true" outlineLevel="0" collapsed="false">
      <c r="C133" s="34"/>
    </row>
    <row r="134" customFormat="false" ht="15.75" hidden="false" customHeight="true" outlineLevel="0" collapsed="false">
      <c r="C134" s="34"/>
    </row>
    <row r="135" customFormat="false" ht="15.75" hidden="false" customHeight="true" outlineLevel="0" collapsed="false">
      <c r="C135" s="34"/>
    </row>
    <row r="136" customFormat="false" ht="15.75" hidden="false" customHeight="true" outlineLevel="0" collapsed="false">
      <c r="C136" s="34"/>
    </row>
    <row r="137" customFormat="false" ht="15.75" hidden="false" customHeight="true" outlineLevel="0" collapsed="false">
      <c r="C137" s="34"/>
    </row>
    <row r="138" customFormat="false" ht="15.75" hidden="false" customHeight="true" outlineLevel="0" collapsed="false">
      <c r="C138" s="34"/>
    </row>
    <row r="139" customFormat="false" ht="15.75" hidden="false" customHeight="true" outlineLevel="0" collapsed="false">
      <c r="C139" s="34"/>
    </row>
    <row r="140" customFormat="false" ht="15.75" hidden="false" customHeight="true" outlineLevel="0" collapsed="false">
      <c r="C140" s="34"/>
    </row>
    <row r="141" customFormat="false" ht="15.75" hidden="false" customHeight="true" outlineLevel="0" collapsed="false">
      <c r="C141" s="34"/>
    </row>
    <row r="142" customFormat="false" ht="15.75" hidden="false" customHeight="true" outlineLevel="0" collapsed="false">
      <c r="C142" s="34"/>
    </row>
    <row r="143" customFormat="false" ht="15.75" hidden="false" customHeight="true" outlineLevel="0" collapsed="false">
      <c r="C143" s="34"/>
    </row>
    <row r="144" customFormat="false" ht="15.75" hidden="false" customHeight="true" outlineLevel="0" collapsed="false">
      <c r="C144" s="34"/>
    </row>
    <row r="145" customFormat="false" ht="15.75" hidden="false" customHeight="true" outlineLevel="0" collapsed="false">
      <c r="C145" s="34"/>
    </row>
    <row r="146" customFormat="false" ht="15.75" hidden="false" customHeight="true" outlineLevel="0" collapsed="false">
      <c r="C146" s="34"/>
    </row>
    <row r="147" customFormat="false" ht="15.75" hidden="false" customHeight="true" outlineLevel="0" collapsed="false">
      <c r="C147" s="34"/>
    </row>
    <row r="148" customFormat="false" ht="15.75" hidden="false" customHeight="true" outlineLevel="0" collapsed="false">
      <c r="C148" s="34"/>
    </row>
    <row r="149" customFormat="false" ht="15.75" hidden="false" customHeight="true" outlineLevel="0" collapsed="false">
      <c r="C149" s="34"/>
    </row>
    <row r="150" customFormat="false" ht="15.75" hidden="false" customHeight="true" outlineLevel="0" collapsed="false">
      <c r="C150" s="34"/>
    </row>
    <row r="151" customFormat="false" ht="15.75" hidden="false" customHeight="true" outlineLevel="0" collapsed="false">
      <c r="C151" s="34"/>
    </row>
    <row r="152" customFormat="false" ht="15.75" hidden="false" customHeight="true" outlineLevel="0" collapsed="false">
      <c r="C152" s="34"/>
    </row>
    <row r="153" customFormat="false" ht="15.75" hidden="false" customHeight="true" outlineLevel="0" collapsed="false">
      <c r="C153" s="34"/>
    </row>
    <row r="154" customFormat="false" ht="15.75" hidden="false" customHeight="true" outlineLevel="0" collapsed="false">
      <c r="C154" s="34"/>
    </row>
    <row r="155" customFormat="false" ht="15.75" hidden="false" customHeight="true" outlineLevel="0" collapsed="false">
      <c r="C155" s="34"/>
    </row>
    <row r="156" customFormat="false" ht="15.75" hidden="false" customHeight="true" outlineLevel="0" collapsed="false">
      <c r="C156" s="34"/>
    </row>
    <row r="157" customFormat="false" ht="15.75" hidden="false" customHeight="true" outlineLevel="0" collapsed="false">
      <c r="C157" s="34"/>
    </row>
    <row r="158" customFormat="false" ht="15.75" hidden="false" customHeight="true" outlineLevel="0" collapsed="false">
      <c r="C158" s="34"/>
    </row>
    <row r="159" customFormat="false" ht="15.75" hidden="false" customHeight="true" outlineLevel="0" collapsed="false">
      <c r="C159" s="34"/>
    </row>
    <row r="160" customFormat="false" ht="15.75" hidden="false" customHeight="true" outlineLevel="0" collapsed="false">
      <c r="C160" s="34"/>
    </row>
    <row r="161" customFormat="false" ht="15.75" hidden="false" customHeight="true" outlineLevel="0" collapsed="false">
      <c r="C161" s="34"/>
    </row>
    <row r="162" customFormat="false" ht="15.75" hidden="false" customHeight="true" outlineLevel="0" collapsed="false">
      <c r="C162" s="34"/>
    </row>
    <row r="163" customFormat="false" ht="15.75" hidden="false" customHeight="true" outlineLevel="0" collapsed="false">
      <c r="C163" s="34"/>
    </row>
    <row r="164" customFormat="false" ht="15.75" hidden="false" customHeight="true" outlineLevel="0" collapsed="false">
      <c r="C164" s="34"/>
    </row>
    <row r="165" customFormat="false" ht="15.75" hidden="false" customHeight="true" outlineLevel="0" collapsed="false">
      <c r="C165" s="34"/>
    </row>
    <row r="166" customFormat="false" ht="15.75" hidden="false" customHeight="true" outlineLevel="0" collapsed="false">
      <c r="C166" s="34"/>
    </row>
    <row r="167" customFormat="false" ht="15.75" hidden="false" customHeight="true" outlineLevel="0" collapsed="false">
      <c r="C167" s="34"/>
    </row>
    <row r="168" customFormat="false" ht="15.75" hidden="false" customHeight="true" outlineLevel="0" collapsed="false">
      <c r="C168" s="34"/>
    </row>
    <row r="169" customFormat="false" ht="15.75" hidden="false" customHeight="true" outlineLevel="0" collapsed="false">
      <c r="C169" s="34"/>
    </row>
    <row r="170" customFormat="false" ht="15.75" hidden="false" customHeight="true" outlineLevel="0" collapsed="false">
      <c r="C170" s="34"/>
    </row>
    <row r="171" customFormat="false" ht="15.75" hidden="false" customHeight="true" outlineLevel="0" collapsed="false">
      <c r="C171" s="34"/>
    </row>
    <row r="172" customFormat="false" ht="15.75" hidden="false" customHeight="true" outlineLevel="0" collapsed="false">
      <c r="C172" s="34"/>
    </row>
    <row r="173" customFormat="false" ht="15.75" hidden="false" customHeight="true" outlineLevel="0" collapsed="false">
      <c r="C173" s="34"/>
    </row>
    <row r="174" customFormat="false" ht="15.75" hidden="false" customHeight="true" outlineLevel="0" collapsed="false">
      <c r="C174" s="34"/>
    </row>
    <row r="175" customFormat="false" ht="15.75" hidden="false" customHeight="true" outlineLevel="0" collapsed="false">
      <c r="C175" s="34"/>
    </row>
    <row r="176" customFormat="false" ht="15.75" hidden="false" customHeight="true" outlineLevel="0" collapsed="false">
      <c r="C176" s="34"/>
    </row>
    <row r="177" customFormat="false" ht="15.75" hidden="false" customHeight="true" outlineLevel="0" collapsed="false">
      <c r="C177" s="34"/>
    </row>
    <row r="178" customFormat="false" ht="15.75" hidden="false" customHeight="true" outlineLevel="0" collapsed="false">
      <c r="C178" s="34"/>
    </row>
    <row r="179" customFormat="false" ht="15.75" hidden="false" customHeight="true" outlineLevel="0" collapsed="false">
      <c r="C179" s="34"/>
    </row>
    <row r="180" customFormat="false" ht="15.75" hidden="false" customHeight="true" outlineLevel="0" collapsed="false">
      <c r="C180" s="34"/>
    </row>
    <row r="181" customFormat="false" ht="15.75" hidden="false" customHeight="true" outlineLevel="0" collapsed="false">
      <c r="C181" s="34"/>
    </row>
    <row r="182" customFormat="false" ht="15.75" hidden="false" customHeight="true" outlineLevel="0" collapsed="false">
      <c r="C182" s="34"/>
    </row>
    <row r="183" customFormat="false" ht="15.75" hidden="false" customHeight="true" outlineLevel="0" collapsed="false">
      <c r="C183" s="34"/>
    </row>
    <row r="184" customFormat="false" ht="15.75" hidden="false" customHeight="true" outlineLevel="0" collapsed="false">
      <c r="C184" s="34"/>
    </row>
    <row r="185" customFormat="false" ht="15.75" hidden="false" customHeight="true" outlineLevel="0" collapsed="false">
      <c r="C185" s="34"/>
    </row>
    <row r="186" customFormat="false" ht="15.75" hidden="false" customHeight="true" outlineLevel="0" collapsed="false">
      <c r="C186" s="34"/>
    </row>
    <row r="187" customFormat="false" ht="15.75" hidden="false" customHeight="true" outlineLevel="0" collapsed="false">
      <c r="C187" s="34"/>
    </row>
    <row r="188" customFormat="false" ht="15.75" hidden="false" customHeight="true" outlineLevel="0" collapsed="false">
      <c r="C188" s="34"/>
    </row>
    <row r="189" customFormat="false" ht="15.75" hidden="false" customHeight="true" outlineLevel="0" collapsed="false">
      <c r="C189" s="34"/>
    </row>
    <row r="190" customFormat="false" ht="15.75" hidden="false" customHeight="true" outlineLevel="0" collapsed="false">
      <c r="C190" s="34"/>
    </row>
    <row r="191" customFormat="false" ht="15.75" hidden="false" customHeight="true" outlineLevel="0" collapsed="false">
      <c r="C191" s="34"/>
    </row>
    <row r="192" customFormat="false" ht="15.75" hidden="false" customHeight="true" outlineLevel="0" collapsed="false">
      <c r="C192" s="34"/>
    </row>
    <row r="193" customFormat="false" ht="15.75" hidden="false" customHeight="true" outlineLevel="0" collapsed="false">
      <c r="C193" s="34"/>
    </row>
    <row r="194" customFormat="false" ht="15.75" hidden="false" customHeight="true" outlineLevel="0" collapsed="false">
      <c r="C194" s="34"/>
    </row>
    <row r="195" customFormat="false" ht="15.75" hidden="false" customHeight="true" outlineLevel="0" collapsed="false">
      <c r="C195" s="34"/>
    </row>
    <row r="196" customFormat="false" ht="15.75" hidden="false" customHeight="true" outlineLevel="0" collapsed="false">
      <c r="C196" s="34"/>
    </row>
    <row r="197" customFormat="false" ht="15.75" hidden="false" customHeight="true" outlineLevel="0" collapsed="false">
      <c r="C197" s="34"/>
    </row>
    <row r="198" customFormat="false" ht="15.75" hidden="false" customHeight="true" outlineLevel="0" collapsed="false">
      <c r="C198" s="34"/>
    </row>
    <row r="199" customFormat="false" ht="15.75" hidden="false" customHeight="true" outlineLevel="0" collapsed="false">
      <c r="C199" s="34"/>
    </row>
    <row r="200" customFormat="false" ht="15.75" hidden="false" customHeight="true" outlineLevel="0" collapsed="false">
      <c r="C200" s="34"/>
    </row>
    <row r="201" customFormat="false" ht="15.75" hidden="false" customHeight="true" outlineLevel="0" collapsed="false">
      <c r="C201" s="34"/>
    </row>
    <row r="202" customFormat="false" ht="15.75" hidden="false" customHeight="true" outlineLevel="0" collapsed="false">
      <c r="C202" s="34"/>
    </row>
    <row r="203" customFormat="false" ht="15.75" hidden="false" customHeight="true" outlineLevel="0" collapsed="false">
      <c r="C203" s="34"/>
    </row>
    <row r="204" customFormat="false" ht="15.75" hidden="false" customHeight="true" outlineLevel="0" collapsed="false">
      <c r="C204" s="34"/>
    </row>
    <row r="205" customFormat="false" ht="15.75" hidden="false" customHeight="true" outlineLevel="0" collapsed="false">
      <c r="C205" s="34"/>
    </row>
    <row r="206" customFormat="false" ht="15.75" hidden="false" customHeight="true" outlineLevel="0" collapsed="false">
      <c r="C206" s="34"/>
    </row>
    <row r="207" customFormat="false" ht="15.75" hidden="false" customHeight="true" outlineLevel="0" collapsed="false">
      <c r="C207" s="34"/>
    </row>
    <row r="208" customFormat="false" ht="15.75" hidden="false" customHeight="true" outlineLevel="0" collapsed="false">
      <c r="C208" s="34"/>
    </row>
    <row r="209" customFormat="false" ht="15.75" hidden="false" customHeight="true" outlineLevel="0" collapsed="false">
      <c r="C209" s="34"/>
    </row>
    <row r="210" customFormat="false" ht="15.75" hidden="false" customHeight="true" outlineLevel="0" collapsed="false">
      <c r="C210" s="34"/>
    </row>
    <row r="211" customFormat="false" ht="15.75" hidden="false" customHeight="true" outlineLevel="0" collapsed="false">
      <c r="C211" s="34"/>
    </row>
    <row r="212" customFormat="false" ht="15.75" hidden="false" customHeight="true" outlineLevel="0" collapsed="false">
      <c r="C212" s="34"/>
    </row>
    <row r="213" customFormat="false" ht="15.75" hidden="false" customHeight="true" outlineLevel="0" collapsed="false">
      <c r="C213" s="34"/>
    </row>
    <row r="214" customFormat="false" ht="15.75" hidden="false" customHeight="true" outlineLevel="0" collapsed="false">
      <c r="C214" s="34"/>
    </row>
    <row r="215" customFormat="false" ht="15.75" hidden="false" customHeight="true" outlineLevel="0" collapsed="false">
      <c r="C215" s="34"/>
    </row>
    <row r="216" customFormat="false" ht="15.75" hidden="false" customHeight="true" outlineLevel="0" collapsed="false">
      <c r="C216" s="34"/>
    </row>
    <row r="217" customFormat="false" ht="15.75" hidden="false" customHeight="true" outlineLevel="0" collapsed="false">
      <c r="C217" s="34"/>
    </row>
    <row r="218" customFormat="false" ht="15.75" hidden="false" customHeight="true" outlineLevel="0" collapsed="false">
      <c r="C218" s="34"/>
    </row>
    <row r="219" customFormat="false" ht="15.75" hidden="false" customHeight="true" outlineLevel="0" collapsed="false">
      <c r="C219" s="34"/>
    </row>
    <row r="220" customFormat="false" ht="15.75" hidden="false" customHeight="true" outlineLevel="0" collapsed="false">
      <c r="C220" s="34"/>
    </row>
    <row r="221" customFormat="false" ht="15.75" hidden="false" customHeight="true" outlineLevel="0" collapsed="false">
      <c r="C221" s="34"/>
    </row>
    <row r="222" customFormat="false" ht="15.75" hidden="false" customHeight="true" outlineLevel="0" collapsed="false">
      <c r="C222" s="34"/>
    </row>
    <row r="223" customFormat="false" ht="15.75" hidden="false" customHeight="true" outlineLevel="0" collapsed="false">
      <c r="C223" s="34"/>
    </row>
    <row r="224" customFormat="false" ht="15.75" hidden="false" customHeight="true" outlineLevel="0" collapsed="false">
      <c r="C224" s="34"/>
    </row>
    <row r="225" customFormat="false" ht="15.75" hidden="false" customHeight="true" outlineLevel="0" collapsed="false">
      <c r="C225" s="34"/>
    </row>
    <row r="226" customFormat="false" ht="15.75" hidden="false" customHeight="true" outlineLevel="0" collapsed="false">
      <c r="C226" s="34"/>
    </row>
    <row r="227" customFormat="false" ht="15.75" hidden="false" customHeight="true" outlineLevel="0" collapsed="false">
      <c r="C227" s="34"/>
    </row>
    <row r="228" customFormat="false" ht="15.75" hidden="false" customHeight="true" outlineLevel="0" collapsed="false">
      <c r="C228" s="34"/>
    </row>
    <row r="229" customFormat="false" ht="15.75" hidden="false" customHeight="true" outlineLevel="0" collapsed="false">
      <c r="C229" s="34"/>
    </row>
    <row r="230" customFormat="false" ht="15.75" hidden="false" customHeight="true" outlineLevel="0" collapsed="false">
      <c r="C230" s="34"/>
    </row>
    <row r="231" customFormat="false" ht="15.75" hidden="false" customHeight="true" outlineLevel="0" collapsed="false">
      <c r="C231" s="34"/>
    </row>
    <row r="232" customFormat="false" ht="15.75" hidden="false" customHeight="true" outlineLevel="0" collapsed="false">
      <c r="C232" s="34"/>
    </row>
    <row r="233" customFormat="false" ht="15.75" hidden="false" customHeight="true" outlineLevel="0" collapsed="false">
      <c r="C233" s="34"/>
    </row>
    <row r="234" customFormat="false" ht="15.75" hidden="false" customHeight="true" outlineLevel="0" collapsed="false">
      <c r="C234" s="34"/>
    </row>
    <row r="235" customFormat="false" ht="15.75" hidden="false" customHeight="true" outlineLevel="0" collapsed="false">
      <c r="C235" s="34"/>
    </row>
    <row r="236" customFormat="false" ht="15.75" hidden="false" customHeight="true" outlineLevel="0" collapsed="false">
      <c r="C236" s="34"/>
    </row>
    <row r="237" customFormat="false" ht="15.75" hidden="false" customHeight="true" outlineLevel="0" collapsed="false">
      <c r="C237" s="34"/>
    </row>
    <row r="238" customFormat="false" ht="15.75" hidden="false" customHeight="true" outlineLevel="0" collapsed="false">
      <c r="C238" s="34"/>
    </row>
    <row r="239" customFormat="false" ht="15.75" hidden="false" customHeight="true" outlineLevel="0" collapsed="false">
      <c r="C239" s="34"/>
    </row>
    <row r="240" customFormat="false" ht="15.75" hidden="false" customHeight="true" outlineLevel="0" collapsed="false">
      <c r="C240" s="34"/>
    </row>
    <row r="241" customFormat="false" ht="15.75" hidden="false" customHeight="true" outlineLevel="0" collapsed="false">
      <c r="C241" s="34"/>
    </row>
    <row r="242" customFormat="false" ht="15.75" hidden="false" customHeight="true" outlineLevel="0" collapsed="false">
      <c r="C242" s="34"/>
    </row>
    <row r="243" customFormat="false" ht="15.75" hidden="false" customHeight="true" outlineLevel="0" collapsed="false">
      <c r="C243" s="34"/>
    </row>
    <row r="244" customFormat="false" ht="15.75" hidden="false" customHeight="true" outlineLevel="0" collapsed="false">
      <c r="C244" s="34"/>
    </row>
    <row r="245" customFormat="false" ht="15.75" hidden="false" customHeight="true" outlineLevel="0" collapsed="false">
      <c r="C245" s="34"/>
    </row>
    <row r="246" customFormat="false" ht="15.75" hidden="false" customHeight="true" outlineLevel="0" collapsed="false">
      <c r="C246" s="34"/>
    </row>
    <row r="247" customFormat="false" ht="15.75" hidden="false" customHeight="true" outlineLevel="0" collapsed="false">
      <c r="C247" s="34"/>
    </row>
    <row r="248" customFormat="false" ht="15.75" hidden="false" customHeight="true" outlineLevel="0" collapsed="false">
      <c r="C248" s="34"/>
    </row>
    <row r="249" customFormat="false" ht="15.75" hidden="false" customHeight="true" outlineLevel="0" collapsed="false">
      <c r="C249" s="34"/>
    </row>
    <row r="250" customFormat="false" ht="15.75" hidden="false" customHeight="true" outlineLevel="0" collapsed="false">
      <c r="C250" s="34"/>
    </row>
    <row r="251" customFormat="false" ht="15.75" hidden="false" customHeight="true" outlineLevel="0" collapsed="false">
      <c r="C251" s="34"/>
    </row>
    <row r="252" customFormat="false" ht="15.75" hidden="false" customHeight="true" outlineLevel="0" collapsed="false">
      <c r="C252" s="34"/>
    </row>
    <row r="253" customFormat="false" ht="15.75" hidden="false" customHeight="true" outlineLevel="0" collapsed="false">
      <c r="C253" s="34"/>
    </row>
    <row r="254" customFormat="false" ht="15.75" hidden="false" customHeight="true" outlineLevel="0" collapsed="false">
      <c r="C254" s="34"/>
    </row>
    <row r="255" customFormat="false" ht="15.75" hidden="false" customHeight="true" outlineLevel="0" collapsed="false">
      <c r="C255" s="34"/>
    </row>
    <row r="256" customFormat="false" ht="15.75" hidden="false" customHeight="true" outlineLevel="0" collapsed="false">
      <c r="C256" s="34"/>
    </row>
    <row r="257" customFormat="false" ht="15.75" hidden="false" customHeight="true" outlineLevel="0" collapsed="false">
      <c r="C257" s="34"/>
    </row>
    <row r="258" customFormat="false" ht="15.75" hidden="false" customHeight="true" outlineLevel="0" collapsed="false">
      <c r="C258" s="34"/>
    </row>
    <row r="259" customFormat="false" ht="15.75" hidden="false" customHeight="true" outlineLevel="0" collapsed="false">
      <c r="C259" s="34"/>
    </row>
    <row r="260" customFormat="false" ht="15.75" hidden="false" customHeight="true" outlineLevel="0" collapsed="false">
      <c r="C260" s="34"/>
    </row>
    <row r="261" customFormat="false" ht="15.75" hidden="false" customHeight="true" outlineLevel="0" collapsed="false">
      <c r="C261" s="34"/>
    </row>
    <row r="262" customFormat="false" ht="15.75" hidden="false" customHeight="true" outlineLevel="0" collapsed="false">
      <c r="C262" s="34"/>
    </row>
    <row r="263" customFormat="false" ht="15.75" hidden="false" customHeight="true" outlineLevel="0" collapsed="false">
      <c r="C263" s="34"/>
    </row>
    <row r="264" customFormat="false" ht="15.75" hidden="false" customHeight="true" outlineLevel="0" collapsed="false">
      <c r="C264" s="34"/>
    </row>
    <row r="265" customFormat="false" ht="15.75" hidden="false" customHeight="true" outlineLevel="0" collapsed="false">
      <c r="C265" s="34"/>
    </row>
    <row r="266" customFormat="false" ht="15.75" hidden="false" customHeight="true" outlineLevel="0" collapsed="false">
      <c r="C266" s="34"/>
    </row>
    <row r="267" customFormat="false" ht="15.75" hidden="false" customHeight="true" outlineLevel="0" collapsed="false">
      <c r="C267" s="34"/>
    </row>
    <row r="268" customFormat="false" ht="15.75" hidden="false" customHeight="true" outlineLevel="0" collapsed="false">
      <c r="C268" s="34"/>
    </row>
    <row r="269" customFormat="false" ht="15.75" hidden="false" customHeight="true" outlineLevel="0" collapsed="false">
      <c r="C269" s="34"/>
    </row>
    <row r="270" customFormat="false" ht="15.75" hidden="false" customHeight="true" outlineLevel="0" collapsed="false">
      <c r="C270" s="34"/>
    </row>
    <row r="271" customFormat="false" ht="15.75" hidden="false" customHeight="true" outlineLevel="0" collapsed="false">
      <c r="C271" s="34"/>
    </row>
    <row r="272" customFormat="false" ht="15.75" hidden="false" customHeight="true" outlineLevel="0" collapsed="false">
      <c r="C272" s="34"/>
    </row>
    <row r="273" customFormat="false" ht="15.75" hidden="false" customHeight="true" outlineLevel="0" collapsed="false">
      <c r="C273" s="34"/>
    </row>
    <row r="274" customFormat="false" ht="15.75" hidden="false" customHeight="true" outlineLevel="0" collapsed="false">
      <c r="C274" s="34"/>
    </row>
    <row r="275" customFormat="false" ht="15.75" hidden="false" customHeight="true" outlineLevel="0" collapsed="false">
      <c r="C275" s="34"/>
    </row>
    <row r="276" customFormat="false" ht="15.75" hidden="false" customHeight="true" outlineLevel="0" collapsed="false">
      <c r="C276" s="34"/>
    </row>
    <row r="277" customFormat="false" ht="15.75" hidden="false" customHeight="true" outlineLevel="0" collapsed="false">
      <c r="C277" s="34"/>
    </row>
    <row r="278" customFormat="false" ht="15.75" hidden="false" customHeight="true" outlineLevel="0" collapsed="false">
      <c r="C278" s="34"/>
    </row>
    <row r="279" customFormat="false" ht="15.75" hidden="false" customHeight="true" outlineLevel="0" collapsed="false">
      <c r="C279" s="34"/>
    </row>
    <row r="280" customFormat="false" ht="15.75" hidden="false" customHeight="true" outlineLevel="0" collapsed="false">
      <c r="C280" s="34"/>
    </row>
    <row r="281" customFormat="false" ht="15.75" hidden="false" customHeight="true" outlineLevel="0" collapsed="false">
      <c r="C281" s="34"/>
    </row>
    <row r="282" customFormat="false" ht="15.75" hidden="false" customHeight="true" outlineLevel="0" collapsed="false">
      <c r="C282" s="34"/>
    </row>
    <row r="283" customFormat="false" ht="15.75" hidden="false" customHeight="true" outlineLevel="0" collapsed="false">
      <c r="C283" s="34"/>
    </row>
    <row r="284" customFormat="false" ht="15.75" hidden="false" customHeight="true" outlineLevel="0" collapsed="false">
      <c r="C284" s="34"/>
    </row>
    <row r="285" customFormat="false" ht="15.75" hidden="false" customHeight="true" outlineLevel="0" collapsed="false">
      <c r="C285" s="34"/>
    </row>
    <row r="286" customFormat="false" ht="15.75" hidden="false" customHeight="true" outlineLevel="0" collapsed="false">
      <c r="C286" s="34"/>
    </row>
    <row r="287" customFormat="false" ht="15.75" hidden="false" customHeight="true" outlineLevel="0" collapsed="false">
      <c r="C287" s="34"/>
    </row>
    <row r="288" customFormat="false" ht="15.75" hidden="false" customHeight="true" outlineLevel="0" collapsed="false">
      <c r="C288" s="34"/>
    </row>
    <row r="289" customFormat="false" ht="15.75" hidden="false" customHeight="true" outlineLevel="0" collapsed="false">
      <c r="C289" s="34"/>
    </row>
    <row r="290" customFormat="false" ht="15.75" hidden="false" customHeight="true" outlineLevel="0" collapsed="false">
      <c r="C290" s="34"/>
    </row>
    <row r="291" customFormat="false" ht="15.75" hidden="false" customHeight="true" outlineLevel="0" collapsed="false">
      <c r="C291" s="34"/>
    </row>
    <row r="292" customFormat="false" ht="15.75" hidden="false" customHeight="true" outlineLevel="0" collapsed="false">
      <c r="C292" s="34"/>
    </row>
    <row r="293" customFormat="false" ht="15.75" hidden="false" customHeight="true" outlineLevel="0" collapsed="false">
      <c r="C293" s="34"/>
    </row>
    <row r="294" customFormat="false" ht="15.75" hidden="false" customHeight="true" outlineLevel="0" collapsed="false">
      <c r="C294" s="34"/>
    </row>
    <row r="295" customFormat="false" ht="15.75" hidden="false" customHeight="true" outlineLevel="0" collapsed="false">
      <c r="C295" s="34"/>
    </row>
    <row r="296" customFormat="false" ht="15.75" hidden="false" customHeight="true" outlineLevel="0" collapsed="false">
      <c r="C296" s="34"/>
    </row>
    <row r="297" customFormat="false" ht="15.75" hidden="false" customHeight="true" outlineLevel="0" collapsed="false">
      <c r="C297" s="34"/>
    </row>
    <row r="298" customFormat="false" ht="15.75" hidden="false" customHeight="true" outlineLevel="0" collapsed="false">
      <c r="C298" s="34"/>
    </row>
    <row r="299" customFormat="false" ht="15.75" hidden="false" customHeight="true" outlineLevel="0" collapsed="false">
      <c r="C299" s="34"/>
    </row>
    <row r="300" customFormat="false" ht="15.75" hidden="false" customHeight="true" outlineLevel="0" collapsed="false">
      <c r="C300" s="34"/>
    </row>
    <row r="301" customFormat="false" ht="15.75" hidden="false" customHeight="true" outlineLevel="0" collapsed="false">
      <c r="C301" s="34"/>
    </row>
    <row r="302" customFormat="false" ht="15.75" hidden="false" customHeight="true" outlineLevel="0" collapsed="false">
      <c r="C302" s="34"/>
    </row>
    <row r="303" customFormat="false" ht="15.75" hidden="false" customHeight="true" outlineLevel="0" collapsed="false">
      <c r="C303" s="34"/>
    </row>
    <row r="304" customFormat="false" ht="15.75" hidden="false" customHeight="true" outlineLevel="0" collapsed="false">
      <c r="C304" s="34"/>
    </row>
    <row r="305" customFormat="false" ht="15.75" hidden="false" customHeight="true" outlineLevel="0" collapsed="false">
      <c r="C305" s="34"/>
    </row>
    <row r="306" customFormat="false" ht="15.75" hidden="false" customHeight="true" outlineLevel="0" collapsed="false">
      <c r="C306" s="34"/>
    </row>
    <row r="307" customFormat="false" ht="15.75" hidden="false" customHeight="true" outlineLevel="0" collapsed="false">
      <c r="C307" s="34"/>
    </row>
    <row r="308" customFormat="false" ht="15.75" hidden="false" customHeight="true" outlineLevel="0" collapsed="false">
      <c r="C308" s="34"/>
    </row>
    <row r="309" customFormat="false" ht="15.75" hidden="false" customHeight="true" outlineLevel="0" collapsed="false">
      <c r="C309" s="34"/>
    </row>
    <row r="310" customFormat="false" ht="15.75" hidden="false" customHeight="true" outlineLevel="0" collapsed="false">
      <c r="C310" s="34"/>
    </row>
    <row r="311" customFormat="false" ht="15.75" hidden="false" customHeight="true" outlineLevel="0" collapsed="false">
      <c r="C311" s="34"/>
    </row>
    <row r="312" customFormat="false" ht="15.75" hidden="false" customHeight="true" outlineLevel="0" collapsed="false">
      <c r="C312" s="34"/>
    </row>
    <row r="313" customFormat="false" ht="15.75" hidden="false" customHeight="true" outlineLevel="0" collapsed="false">
      <c r="C313" s="34"/>
    </row>
    <row r="314" customFormat="false" ht="15.75" hidden="false" customHeight="true" outlineLevel="0" collapsed="false">
      <c r="C314" s="34"/>
    </row>
    <row r="315" customFormat="false" ht="15.75" hidden="false" customHeight="true" outlineLevel="0" collapsed="false">
      <c r="C315" s="34"/>
    </row>
    <row r="316" customFormat="false" ht="15.75" hidden="false" customHeight="true" outlineLevel="0" collapsed="false">
      <c r="C316" s="34"/>
    </row>
    <row r="317" customFormat="false" ht="15.75" hidden="false" customHeight="true" outlineLevel="0" collapsed="false">
      <c r="C317" s="34"/>
    </row>
    <row r="318" customFormat="false" ht="15.75" hidden="false" customHeight="true" outlineLevel="0" collapsed="false">
      <c r="C318" s="34"/>
    </row>
    <row r="319" customFormat="false" ht="15.75" hidden="false" customHeight="true" outlineLevel="0" collapsed="false">
      <c r="C319" s="34"/>
    </row>
    <row r="320" customFormat="false" ht="15.75" hidden="false" customHeight="true" outlineLevel="0" collapsed="false">
      <c r="C320" s="34"/>
    </row>
    <row r="321" customFormat="false" ht="15.75" hidden="false" customHeight="true" outlineLevel="0" collapsed="false">
      <c r="C321" s="34"/>
    </row>
    <row r="322" customFormat="false" ht="15.75" hidden="false" customHeight="true" outlineLevel="0" collapsed="false">
      <c r="C322" s="34"/>
    </row>
    <row r="323" customFormat="false" ht="15.75" hidden="false" customHeight="true" outlineLevel="0" collapsed="false">
      <c r="C323" s="34"/>
    </row>
    <row r="324" customFormat="false" ht="15.75" hidden="false" customHeight="true" outlineLevel="0" collapsed="false">
      <c r="C324" s="34"/>
    </row>
    <row r="325" customFormat="false" ht="15.75" hidden="false" customHeight="true" outlineLevel="0" collapsed="false">
      <c r="C325" s="34"/>
    </row>
    <row r="326" customFormat="false" ht="15.75" hidden="false" customHeight="true" outlineLevel="0" collapsed="false">
      <c r="C326" s="34"/>
    </row>
    <row r="327" customFormat="false" ht="15.75" hidden="false" customHeight="true" outlineLevel="0" collapsed="false">
      <c r="C327" s="34"/>
    </row>
    <row r="328" customFormat="false" ht="15.75" hidden="false" customHeight="true" outlineLevel="0" collapsed="false">
      <c r="C328" s="34"/>
    </row>
    <row r="329" customFormat="false" ht="15.75" hidden="false" customHeight="true" outlineLevel="0" collapsed="false">
      <c r="C329" s="34"/>
    </row>
    <row r="330" customFormat="false" ht="15.75" hidden="false" customHeight="true" outlineLevel="0" collapsed="false">
      <c r="C330" s="34"/>
    </row>
    <row r="331" customFormat="false" ht="15.75" hidden="false" customHeight="true" outlineLevel="0" collapsed="false">
      <c r="C331" s="34"/>
    </row>
    <row r="332" customFormat="false" ht="15.75" hidden="false" customHeight="true" outlineLevel="0" collapsed="false">
      <c r="C332" s="34"/>
    </row>
    <row r="333" customFormat="false" ht="15.75" hidden="false" customHeight="true" outlineLevel="0" collapsed="false">
      <c r="C333" s="34"/>
    </row>
    <row r="334" customFormat="false" ht="15.75" hidden="false" customHeight="true" outlineLevel="0" collapsed="false">
      <c r="C334" s="34"/>
    </row>
    <row r="335" customFormat="false" ht="15.75" hidden="false" customHeight="true" outlineLevel="0" collapsed="false">
      <c r="C335" s="34"/>
    </row>
    <row r="336" customFormat="false" ht="15.75" hidden="false" customHeight="true" outlineLevel="0" collapsed="false">
      <c r="C336" s="34"/>
    </row>
    <row r="337" customFormat="false" ht="15.75" hidden="false" customHeight="true" outlineLevel="0" collapsed="false">
      <c r="C337" s="34"/>
    </row>
    <row r="338" customFormat="false" ht="15.75" hidden="false" customHeight="true" outlineLevel="0" collapsed="false">
      <c r="C338" s="34"/>
    </row>
    <row r="339" customFormat="false" ht="15.75" hidden="false" customHeight="true" outlineLevel="0" collapsed="false">
      <c r="C339" s="34"/>
    </row>
    <row r="340" customFormat="false" ht="15.75" hidden="false" customHeight="true" outlineLevel="0" collapsed="false">
      <c r="C340" s="34"/>
    </row>
    <row r="341" customFormat="false" ht="15.75" hidden="false" customHeight="true" outlineLevel="0" collapsed="false">
      <c r="C341" s="34"/>
    </row>
    <row r="342" customFormat="false" ht="15.75" hidden="false" customHeight="true" outlineLevel="0" collapsed="false">
      <c r="C342" s="34"/>
    </row>
    <row r="343" customFormat="false" ht="15.75" hidden="false" customHeight="true" outlineLevel="0" collapsed="false">
      <c r="C343" s="34"/>
    </row>
    <row r="344" customFormat="false" ht="15.75" hidden="false" customHeight="true" outlineLevel="0" collapsed="false">
      <c r="C344" s="34"/>
    </row>
    <row r="345" customFormat="false" ht="15.75" hidden="false" customHeight="true" outlineLevel="0" collapsed="false">
      <c r="C345" s="34"/>
    </row>
    <row r="346" customFormat="false" ht="15.75" hidden="false" customHeight="true" outlineLevel="0" collapsed="false">
      <c r="C346" s="34"/>
    </row>
    <row r="347" customFormat="false" ht="15.75" hidden="false" customHeight="true" outlineLevel="0" collapsed="false">
      <c r="C347" s="34"/>
    </row>
    <row r="348" customFormat="false" ht="15.75" hidden="false" customHeight="true" outlineLevel="0" collapsed="false">
      <c r="C348" s="34"/>
    </row>
    <row r="349" customFormat="false" ht="15.75" hidden="false" customHeight="true" outlineLevel="0" collapsed="false">
      <c r="C349" s="34"/>
    </row>
    <row r="350" customFormat="false" ht="15.75" hidden="false" customHeight="true" outlineLevel="0" collapsed="false">
      <c r="C350" s="34"/>
    </row>
    <row r="351" customFormat="false" ht="15.75" hidden="false" customHeight="true" outlineLevel="0" collapsed="false">
      <c r="C351" s="34"/>
    </row>
    <row r="352" customFormat="false" ht="15.75" hidden="false" customHeight="true" outlineLevel="0" collapsed="false">
      <c r="C352" s="34"/>
    </row>
    <row r="353" customFormat="false" ht="15.75" hidden="false" customHeight="true" outlineLevel="0" collapsed="false">
      <c r="C353" s="34"/>
    </row>
    <row r="354" customFormat="false" ht="15.75" hidden="false" customHeight="true" outlineLevel="0" collapsed="false">
      <c r="C354" s="34"/>
    </row>
    <row r="355" customFormat="false" ht="15.75" hidden="false" customHeight="true" outlineLevel="0" collapsed="false">
      <c r="C355" s="34"/>
    </row>
    <row r="356" customFormat="false" ht="15.75" hidden="false" customHeight="true" outlineLevel="0" collapsed="false">
      <c r="C356" s="34"/>
    </row>
    <row r="357" customFormat="false" ht="15.75" hidden="false" customHeight="true" outlineLevel="0" collapsed="false">
      <c r="C357" s="34"/>
    </row>
    <row r="358" customFormat="false" ht="15.75" hidden="false" customHeight="true" outlineLevel="0" collapsed="false">
      <c r="C358" s="34"/>
    </row>
    <row r="359" customFormat="false" ht="15.75" hidden="false" customHeight="true" outlineLevel="0" collapsed="false">
      <c r="C359" s="34"/>
    </row>
    <row r="360" customFormat="false" ht="15.75" hidden="false" customHeight="true" outlineLevel="0" collapsed="false">
      <c r="C360" s="34"/>
    </row>
    <row r="361" customFormat="false" ht="15.75" hidden="false" customHeight="true" outlineLevel="0" collapsed="false">
      <c r="C361" s="34"/>
    </row>
    <row r="362" customFormat="false" ht="15.75" hidden="false" customHeight="true" outlineLevel="0" collapsed="false">
      <c r="C362" s="34"/>
    </row>
    <row r="363" customFormat="false" ht="15.75" hidden="false" customHeight="true" outlineLevel="0" collapsed="false">
      <c r="C363" s="34"/>
    </row>
    <row r="364" customFormat="false" ht="15.75" hidden="false" customHeight="true" outlineLevel="0" collapsed="false">
      <c r="C364" s="34"/>
    </row>
    <row r="365" customFormat="false" ht="15.75" hidden="false" customHeight="true" outlineLevel="0" collapsed="false">
      <c r="C365" s="34"/>
    </row>
    <row r="366" customFormat="false" ht="15.75" hidden="false" customHeight="true" outlineLevel="0" collapsed="false">
      <c r="C366" s="34"/>
    </row>
    <row r="367" customFormat="false" ht="15.75" hidden="false" customHeight="true" outlineLevel="0" collapsed="false">
      <c r="C367" s="34"/>
    </row>
    <row r="368" customFormat="false" ht="15.75" hidden="false" customHeight="true" outlineLevel="0" collapsed="false">
      <c r="C368" s="34"/>
    </row>
    <row r="369" customFormat="false" ht="15.75" hidden="false" customHeight="true" outlineLevel="0" collapsed="false">
      <c r="C369" s="34"/>
    </row>
    <row r="370" customFormat="false" ht="15.75" hidden="false" customHeight="true" outlineLevel="0" collapsed="false">
      <c r="C370" s="34"/>
    </row>
    <row r="371" customFormat="false" ht="15.75" hidden="false" customHeight="true" outlineLevel="0" collapsed="false">
      <c r="C371" s="34"/>
    </row>
    <row r="372" customFormat="false" ht="15.75" hidden="false" customHeight="true" outlineLevel="0" collapsed="false">
      <c r="C372" s="34"/>
    </row>
    <row r="373" customFormat="false" ht="15.75" hidden="false" customHeight="true" outlineLevel="0" collapsed="false">
      <c r="C373" s="34"/>
    </row>
    <row r="374" customFormat="false" ht="15.75" hidden="false" customHeight="true" outlineLevel="0" collapsed="false">
      <c r="C374" s="34"/>
    </row>
    <row r="375" customFormat="false" ht="15.75" hidden="false" customHeight="true" outlineLevel="0" collapsed="false">
      <c r="C375" s="34"/>
    </row>
    <row r="376" customFormat="false" ht="15.75" hidden="false" customHeight="true" outlineLevel="0" collapsed="false">
      <c r="C376" s="34"/>
    </row>
    <row r="377" customFormat="false" ht="15.75" hidden="false" customHeight="true" outlineLevel="0" collapsed="false">
      <c r="C377" s="34"/>
    </row>
    <row r="378" customFormat="false" ht="15.75" hidden="false" customHeight="true" outlineLevel="0" collapsed="false">
      <c r="C378" s="34"/>
    </row>
    <row r="379" customFormat="false" ht="15.75" hidden="false" customHeight="true" outlineLevel="0" collapsed="false">
      <c r="C379" s="34"/>
    </row>
    <row r="380" customFormat="false" ht="15.75" hidden="false" customHeight="true" outlineLevel="0" collapsed="false">
      <c r="C380" s="34"/>
    </row>
    <row r="381" customFormat="false" ht="15.75" hidden="false" customHeight="true" outlineLevel="0" collapsed="false">
      <c r="C381" s="34"/>
    </row>
    <row r="382" customFormat="false" ht="15.75" hidden="false" customHeight="true" outlineLevel="0" collapsed="false">
      <c r="C382" s="34"/>
    </row>
    <row r="383" customFormat="false" ht="15.75" hidden="false" customHeight="true" outlineLevel="0" collapsed="false">
      <c r="C383" s="34"/>
    </row>
    <row r="384" customFormat="false" ht="15.75" hidden="false" customHeight="true" outlineLevel="0" collapsed="false">
      <c r="C384" s="34"/>
    </row>
    <row r="385" customFormat="false" ht="15.75" hidden="false" customHeight="true" outlineLevel="0" collapsed="false">
      <c r="C385" s="34"/>
    </row>
    <row r="386" customFormat="false" ht="15.75" hidden="false" customHeight="true" outlineLevel="0" collapsed="false">
      <c r="C386" s="34"/>
    </row>
    <row r="387" customFormat="false" ht="15.75" hidden="false" customHeight="true" outlineLevel="0" collapsed="false">
      <c r="C387" s="34"/>
    </row>
    <row r="388" customFormat="false" ht="15.75" hidden="false" customHeight="true" outlineLevel="0" collapsed="false">
      <c r="C388" s="34"/>
    </row>
    <row r="389" customFormat="false" ht="15.75" hidden="false" customHeight="true" outlineLevel="0" collapsed="false">
      <c r="C389" s="34"/>
    </row>
    <row r="390" customFormat="false" ht="15.75" hidden="false" customHeight="true" outlineLevel="0" collapsed="false">
      <c r="C390" s="34"/>
    </row>
    <row r="391" customFormat="false" ht="15.75" hidden="false" customHeight="true" outlineLevel="0" collapsed="false">
      <c r="C391" s="34"/>
    </row>
    <row r="392" customFormat="false" ht="15.75" hidden="false" customHeight="true" outlineLevel="0" collapsed="false">
      <c r="C392" s="34"/>
    </row>
    <row r="393" customFormat="false" ht="15.75" hidden="false" customHeight="true" outlineLevel="0" collapsed="false">
      <c r="C393" s="34"/>
    </row>
    <row r="394" customFormat="false" ht="15.75" hidden="false" customHeight="true" outlineLevel="0" collapsed="false">
      <c r="C394" s="34"/>
    </row>
    <row r="395" customFormat="false" ht="15.75" hidden="false" customHeight="true" outlineLevel="0" collapsed="false">
      <c r="C395" s="34"/>
    </row>
    <row r="396" customFormat="false" ht="15.75" hidden="false" customHeight="true" outlineLevel="0" collapsed="false">
      <c r="C396" s="34"/>
    </row>
    <row r="397" customFormat="false" ht="15.75" hidden="false" customHeight="true" outlineLevel="0" collapsed="false">
      <c r="C397" s="34"/>
    </row>
    <row r="398" customFormat="false" ht="15.75" hidden="false" customHeight="true" outlineLevel="0" collapsed="false">
      <c r="C398" s="34"/>
    </row>
    <row r="399" customFormat="false" ht="15.75" hidden="false" customHeight="true" outlineLevel="0" collapsed="false">
      <c r="C399" s="34"/>
    </row>
    <row r="400" customFormat="false" ht="15.75" hidden="false" customHeight="true" outlineLevel="0" collapsed="false">
      <c r="C400" s="34"/>
    </row>
    <row r="401" customFormat="false" ht="15.75" hidden="false" customHeight="true" outlineLevel="0" collapsed="false">
      <c r="C401" s="34"/>
    </row>
    <row r="402" customFormat="false" ht="15.75" hidden="false" customHeight="true" outlineLevel="0" collapsed="false">
      <c r="C402" s="34"/>
    </row>
    <row r="403" customFormat="false" ht="15.75" hidden="false" customHeight="true" outlineLevel="0" collapsed="false">
      <c r="C403" s="34"/>
    </row>
    <row r="404" customFormat="false" ht="15.75" hidden="false" customHeight="true" outlineLevel="0" collapsed="false">
      <c r="C404" s="34"/>
    </row>
    <row r="405" customFormat="false" ht="15.75" hidden="false" customHeight="true" outlineLevel="0" collapsed="false">
      <c r="C405" s="34"/>
    </row>
    <row r="406" customFormat="false" ht="15.75" hidden="false" customHeight="true" outlineLevel="0" collapsed="false">
      <c r="C406" s="34"/>
    </row>
    <row r="407" customFormat="false" ht="15.75" hidden="false" customHeight="true" outlineLevel="0" collapsed="false">
      <c r="C407" s="34"/>
    </row>
    <row r="408" customFormat="false" ht="15.75" hidden="false" customHeight="true" outlineLevel="0" collapsed="false">
      <c r="C408" s="34"/>
    </row>
    <row r="409" customFormat="false" ht="15.75" hidden="false" customHeight="true" outlineLevel="0" collapsed="false">
      <c r="C409" s="34"/>
    </row>
    <row r="410" customFormat="false" ht="15.75" hidden="false" customHeight="true" outlineLevel="0" collapsed="false">
      <c r="C410" s="34"/>
    </row>
    <row r="411" customFormat="false" ht="15.75" hidden="false" customHeight="true" outlineLevel="0" collapsed="false">
      <c r="C411" s="34"/>
    </row>
    <row r="412" customFormat="false" ht="15.75" hidden="false" customHeight="true" outlineLevel="0" collapsed="false">
      <c r="C412" s="34"/>
    </row>
    <row r="413" customFormat="false" ht="15.75" hidden="false" customHeight="true" outlineLevel="0" collapsed="false">
      <c r="C413" s="34"/>
    </row>
    <row r="414" customFormat="false" ht="15.75" hidden="false" customHeight="true" outlineLevel="0" collapsed="false">
      <c r="C414" s="34"/>
    </row>
    <row r="415" customFormat="false" ht="15.75" hidden="false" customHeight="true" outlineLevel="0" collapsed="false">
      <c r="C415" s="34"/>
    </row>
    <row r="416" customFormat="false" ht="15.75" hidden="false" customHeight="true" outlineLevel="0" collapsed="false">
      <c r="C416" s="34"/>
    </row>
    <row r="417" customFormat="false" ht="15.75" hidden="false" customHeight="true" outlineLevel="0" collapsed="false">
      <c r="C417" s="34"/>
    </row>
    <row r="418" customFormat="false" ht="15.75" hidden="false" customHeight="true" outlineLevel="0" collapsed="false">
      <c r="C418" s="34"/>
    </row>
    <row r="419" customFormat="false" ht="15.75" hidden="false" customHeight="true" outlineLevel="0" collapsed="false">
      <c r="C419" s="34"/>
    </row>
    <row r="420" customFormat="false" ht="15.75" hidden="false" customHeight="true" outlineLevel="0" collapsed="false">
      <c r="C420" s="34"/>
    </row>
    <row r="421" customFormat="false" ht="15.75" hidden="false" customHeight="true" outlineLevel="0" collapsed="false">
      <c r="C421" s="34"/>
    </row>
    <row r="422" customFormat="false" ht="15.75" hidden="false" customHeight="true" outlineLevel="0" collapsed="false">
      <c r="C422" s="34"/>
    </row>
    <row r="423" customFormat="false" ht="15.75" hidden="false" customHeight="true" outlineLevel="0" collapsed="false">
      <c r="C423" s="34"/>
    </row>
    <row r="424" customFormat="false" ht="15.75" hidden="false" customHeight="true" outlineLevel="0" collapsed="false">
      <c r="C424" s="34"/>
    </row>
    <row r="425" customFormat="false" ht="15.75" hidden="false" customHeight="true" outlineLevel="0" collapsed="false">
      <c r="C425" s="34"/>
    </row>
    <row r="426" customFormat="false" ht="15.75" hidden="false" customHeight="true" outlineLevel="0" collapsed="false">
      <c r="C426" s="34"/>
    </row>
    <row r="427" customFormat="false" ht="15.75" hidden="false" customHeight="true" outlineLevel="0" collapsed="false">
      <c r="C427" s="34"/>
    </row>
    <row r="428" customFormat="false" ht="15.75" hidden="false" customHeight="true" outlineLevel="0" collapsed="false">
      <c r="C428" s="34"/>
    </row>
    <row r="429" customFormat="false" ht="15.75" hidden="false" customHeight="true" outlineLevel="0" collapsed="false">
      <c r="C429" s="34"/>
    </row>
    <row r="430" customFormat="false" ht="15.75" hidden="false" customHeight="true" outlineLevel="0" collapsed="false">
      <c r="C430" s="34"/>
    </row>
    <row r="431" customFormat="false" ht="15.75" hidden="false" customHeight="true" outlineLevel="0" collapsed="false">
      <c r="C431" s="34"/>
    </row>
    <row r="432" customFormat="false" ht="15.75" hidden="false" customHeight="true" outlineLevel="0" collapsed="false">
      <c r="C432" s="34"/>
    </row>
    <row r="433" customFormat="false" ht="15.75" hidden="false" customHeight="true" outlineLevel="0" collapsed="false">
      <c r="C433" s="34"/>
    </row>
    <row r="434" customFormat="false" ht="15.75" hidden="false" customHeight="true" outlineLevel="0" collapsed="false">
      <c r="C434" s="34"/>
    </row>
    <row r="435" customFormat="false" ht="15.75" hidden="false" customHeight="true" outlineLevel="0" collapsed="false">
      <c r="C435" s="34"/>
    </row>
    <row r="436" customFormat="false" ht="15.75" hidden="false" customHeight="true" outlineLevel="0" collapsed="false">
      <c r="C436" s="34"/>
    </row>
    <row r="437" customFormat="false" ht="15.75" hidden="false" customHeight="true" outlineLevel="0" collapsed="false">
      <c r="C437" s="34"/>
    </row>
    <row r="438" customFormat="false" ht="15.75" hidden="false" customHeight="true" outlineLevel="0" collapsed="false">
      <c r="C438" s="34"/>
    </row>
    <row r="439" customFormat="false" ht="15.75" hidden="false" customHeight="true" outlineLevel="0" collapsed="false">
      <c r="C439" s="34"/>
    </row>
    <row r="440" customFormat="false" ht="15.75" hidden="false" customHeight="true" outlineLevel="0" collapsed="false">
      <c r="C440" s="34"/>
    </row>
    <row r="441" customFormat="false" ht="15.75" hidden="false" customHeight="true" outlineLevel="0" collapsed="false">
      <c r="C441" s="34"/>
    </row>
    <row r="442" customFormat="false" ht="15.75" hidden="false" customHeight="true" outlineLevel="0" collapsed="false">
      <c r="C442" s="34"/>
    </row>
    <row r="443" customFormat="false" ht="15.75" hidden="false" customHeight="true" outlineLevel="0" collapsed="false">
      <c r="C443" s="34"/>
    </row>
    <row r="444" customFormat="false" ht="15.75" hidden="false" customHeight="true" outlineLevel="0" collapsed="false">
      <c r="C444" s="34"/>
    </row>
    <row r="445" customFormat="false" ht="15.75" hidden="false" customHeight="true" outlineLevel="0" collapsed="false">
      <c r="C445" s="34"/>
    </row>
    <row r="446" customFormat="false" ht="15.75" hidden="false" customHeight="true" outlineLevel="0" collapsed="false">
      <c r="C446" s="34"/>
    </row>
    <row r="447" customFormat="false" ht="15.75" hidden="false" customHeight="true" outlineLevel="0" collapsed="false">
      <c r="C447" s="34"/>
    </row>
    <row r="448" customFormat="false" ht="15.75" hidden="false" customHeight="true" outlineLevel="0" collapsed="false">
      <c r="C448" s="34"/>
    </row>
    <row r="449" customFormat="false" ht="15.75" hidden="false" customHeight="true" outlineLevel="0" collapsed="false">
      <c r="C449" s="34"/>
    </row>
    <row r="450" customFormat="false" ht="15.75" hidden="false" customHeight="true" outlineLevel="0" collapsed="false">
      <c r="C450" s="34"/>
    </row>
    <row r="451" customFormat="false" ht="15.75" hidden="false" customHeight="true" outlineLevel="0" collapsed="false">
      <c r="C451" s="34"/>
    </row>
    <row r="452" customFormat="false" ht="15.75" hidden="false" customHeight="true" outlineLevel="0" collapsed="false">
      <c r="C452" s="34"/>
    </row>
    <row r="453" customFormat="false" ht="15.75" hidden="false" customHeight="true" outlineLevel="0" collapsed="false">
      <c r="C453" s="34"/>
    </row>
    <row r="454" customFormat="false" ht="15.75" hidden="false" customHeight="true" outlineLevel="0" collapsed="false">
      <c r="C454" s="34"/>
    </row>
    <row r="455" customFormat="false" ht="15.75" hidden="false" customHeight="true" outlineLevel="0" collapsed="false">
      <c r="C455" s="34"/>
    </row>
    <row r="456" customFormat="false" ht="15.75" hidden="false" customHeight="true" outlineLevel="0" collapsed="false">
      <c r="C456" s="34"/>
    </row>
    <row r="457" customFormat="false" ht="15.75" hidden="false" customHeight="true" outlineLevel="0" collapsed="false">
      <c r="C457" s="34"/>
    </row>
    <row r="458" customFormat="false" ht="15.75" hidden="false" customHeight="true" outlineLevel="0" collapsed="false">
      <c r="C458" s="34"/>
    </row>
    <row r="459" customFormat="false" ht="15.75" hidden="false" customHeight="true" outlineLevel="0" collapsed="false">
      <c r="C459" s="34"/>
    </row>
    <row r="460" customFormat="false" ht="15.75" hidden="false" customHeight="true" outlineLevel="0" collapsed="false">
      <c r="C460" s="34"/>
    </row>
    <row r="461" customFormat="false" ht="15.75" hidden="false" customHeight="true" outlineLevel="0" collapsed="false">
      <c r="C461" s="34"/>
    </row>
    <row r="462" customFormat="false" ht="15.75" hidden="false" customHeight="true" outlineLevel="0" collapsed="false">
      <c r="C462" s="34"/>
    </row>
    <row r="463" customFormat="false" ht="15.75" hidden="false" customHeight="true" outlineLevel="0" collapsed="false">
      <c r="C463" s="34"/>
    </row>
    <row r="464" customFormat="false" ht="15.75" hidden="false" customHeight="true" outlineLevel="0" collapsed="false">
      <c r="C464" s="34"/>
    </row>
    <row r="465" customFormat="false" ht="15.75" hidden="false" customHeight="true" outlineLevel="0" collapsed="false">
      <c r="C465" s="34"/>
    </row>
    <row r="466" customFormat="false" ht="15.75" hidden="false" customHeight="true" outlineLevel="0" collapsed="false">
      <c r="C466" s="34"/>
    </row>
    <row r="467" customFormat="false" ht="15.75" hidden="false" customHeight="true" outlineLevel="0" collapsed="false">
      <c r="C467" s="34"/>
    </row>
    <row r="468" customFormat="false" ht="15.75" hidden="false" customHeight="true" outlineLevel="0" collapsed="false">
      <c r="C468" s="34"/>
    </row>
    <row r="469" customFormat="false" ht="15.75" hidden="false" customHeight="true" outlineLevel="0" collapsed="false">
      <c r="C469" s="34"/>
    </row>
    <row r="470" customFormat="false" ht="15.75" hidden="false" customHeight="true" outlineLevel="0" collapsed="false">
      <c r="C470" s="34"/>
    </row>
    <row r="471" customFormat="false" ht="15.75" hidden="false" customHeight="true" outlineLevel="0" collapsed="false">
      <c r="C471" s="34"/>
    </row>
    <row r="472" customFormat="false" ht="15.75" hidden="false" customHeight="true" outlineLevel="0" collapsed="false">
      <c r="C472" s="34"/>
    </row>
    <row r="473" customFormat="false" ht="15.75" hidden="false" customHeight="true" outlineLevel="0" collapsed="false">
      <c r="C473" s="34"/>
    </row>
    <row r="474" customFormat="false" ht="15.75" hidden="false" customHeight="true" outlineLevel="0" collapsed="false">
      <c r="C474" s="34"/>
    </row>
    <row r="475" customFormat="false" ht="15.75" hidden="false" customHeight="true" outlineLevel="0" collapsed="false">
      <c r="C475" s="34"/>
    </row>
    <row r="476" customFormat="false" ht="15.75" hidden="false" customHeight="true" outlineLevel="0" collapsed="false">
      <c r="C476" s="34"/>
    </row>
    <row r="477" customFormat="false" ht="15.75" hidden="false" customHeight="true" outlineLevel="0" collapsed="false">
      <c r="C477" s="34"/>
    </row>
    <row r="478" customFormat="false" ht="15.75" hidden="false" customHeight="true" outlineLevel="0" collapsed="false">
      <c r="C478" s="34"/>
    </row>
    <row r="479" customFormat="false" ht="15.75" hidden="false" customHeight="true" outlineLevel="0" collapsed="false">
      <c r="C479" s="34"/>
    </row>
    <row r="480" customFormat="false" ht="15.75" hidden="false" customHeight="true" outlineLevel="0" collapsed="false">
      <c r="C480" s="34"/>
    </row>
    <row r="481" customFormat="false" ht="15.75" hidden="false" customHeight="true" outlineLevel="0" collapsed="false">
      <c r="C481" s="34"/>
    </row>
    <row r="482" customFormat="false" ht="15.75" hidden="false" customHeight="true" outlineLevel="0" collapsed="false">
      <c r="C482" s="34"/>
    </row>
    <row r="483" customFormat="false" ht="15.75" hidden="false" customHeight="true" outlineLevel="0" collapsed="false">
      <c r="C483" s="34"/>
    </row>
    <row r="484" customFormat="false" ht="15.75" hidden="false" customHeight="true" outlineLevel="0" collapsed="false">
      <c r="C484" s="34"/>
    </row>
    <row r="485" customFormat="false" ht="15.75" hidden="false" customHeight="true" outlineLevel="0" collapsed="false">
      <c r="C485" s="34"/>
    </row>
    <row r="486" customFormat="false" ht="15.75" hidden="false" customHeight="true" outlineLevel="0" collapsed="false">
      <c r="C486" s="34"/>
    </row>
    <row r="487" customFormat="false" ht="15.75" hidden="false" customHeight="true" outlineLevel="0" collapsed="false">
      <c r="C487" s="34"/>
    </row>
    <row r="488" customFormat="false" ht="15.75" hidden="false" customHeight="true" outlineLevel="0" collapsed="false">
      <c r="C488" s="34"/>
    </row>
    <row r="489" customFormat="false" ht="15.75" hidden="false" customHeight="true" outlineLevel="0" collapsed="false">
      <c r="C489" s="34"/>
    </row>
    <row r="490" customFormat="false" ht="15.75" hidden="false" customHeight="true" outlineLevel="0" collapsed="false">
      <c r="C490" s="34"/>
    </row>
    <row r="491" customFormat="false" ht="15.75" hidden="false" customHeight="true" outlineLevel="0" collapsed="false">
      <c r="C491" s="34"/>
    </row>
    <row r="492" customFormat="false" ht="15.75" hidden="false" customHeight="true" outlineLevel="0" collapsed="false">
      <c r="C492" s="34"/>
    </row>
    <row r="493" customFormat="false" ht="15.75" hidden="false" customHeight="true" outlineLevel="0" collapsed="false">
      <c r="C493" s="34"/>
    </row>
    <row r="494" customFormat="false" ht="15.75" hidden="false" customHeight="true" outlineLevel="0" collapsed="false">
      <c r="C494" s="34"/>
    </row>
    <row r="495" customFormat="false" ht="15.75" hidden="false" customHeight="true" outlineLevel="0" collapsed="false">
      <c r="C495" s="34"/>
    </row>
    <row r="496" customFormat="false" ht="15.75" hidden="false" customHeight="true" outlineLevel="0" collapsed="false">
      <c r="C496" s="34"/>
    </row>
    <row r="497" customFormat="false" ht="15.75" hidden="false" customHeight="true" outlineLevel="0" collapsed="false">
      <c r="C497" s="34"/>
    </row>
    <row r="498" customFormat="false" ht="15.75" hidden="false" customHeight="true" outlineLevel="0" collapsed="false">
      <c r="C498" s="34"/>
    </row>
    <row r="499" customFormat="false" ht="15.75" hidden="false" customHeight="true" outlineLevel="0" collapsed="false">
      <c r="C499" s="34"/>
    </row>
    <row r="500" customFormat="false" ht="15.75" hidden="false" customHeight="true" outlineLevel="0" collapsed="false">
      <c r="C500" s="34"/>
    </row>
    <row r="501" customFormat="false" ht="15.75" hidden="false" customHeight="true" outlineLevel="0" collapsed="false">
      <c r="C501" s="34"/>
    </row>
    <row r="502" customFormat="false" ht="15.75" hidden="false" customHeight="true" outlineLevel="0" collapsed="false">
      <c r="C502" s="34"/>
    </row>
    <row r="503" customFormat="false" ht="15.75" hidden="false" customHeight="true" outlineLevel="0" collapsed="false">
      <c r="C503" s="34"/>
    </row>
    <row r="504" customFormat="false" ht="15.75" hidden="false" customHeight="true" outlineLevel="0" collapsed="false">
      <c r="C504" s="34"/>
    </row>
    <row r="505" customFormat="false" ht="15.75" hidden="false" customHeight="true" outlineLevel="0" collapsed="false">
      <c r="C505" s="34"/>
    </row>
    <row r="506" customFormat="false" ht="15.75" hidden="false" customHeight="true" outlineLevel="0" collapsed="false">
      <c r="C506" s="34"/>
    </row>
    <row r="507" customFormat="false" ht="15.75" hidden="false" customHeight="true" outlineLevel="0" collapsed="false">
      <c r="C507" s="34"/>
    </row>
    <row r="508" customFormat="false" ht="15.75" hidden="false" customHeight="true" outlineLevel="0" collapsed="false">
      <c r="C508" s="34"/>
    </row>
    <row r="509" customFormat="false" ht="15.75" hidden="false" customHeight="true" outlineLevel="0" collapsed="false">
      <c r="C509" s="34"/>
    </row>
    <row r="510" customFormat="false" ht="15.75" hidden="false" customHeight="true" outlineLevel="0" collapsed="false">
      <c r="C510" s="34"/>
    </row>
    <row r="511" customFormat="false" ht="15.75" hidden="false" customHeight="true" outlineLevel="0" collapsed="false">
      <c r="C511" s="34"/>
    </row>
    <row r="512" customFormat="false" ht="15.75" hidden="false" customHeight="true" outlineLevel="0" collapsed="false">
      <c r="C512" s="34"/>
    </row>
    <row r="513" customFormat="false" ht="15.75" hidden="false" customHeight="true" outlineLevel="0" collapsed="false">
      <c r="C513" s="34"/>
    </row>
    <row r="514" customFormat="false" ht="15.75" hidden="false" customHeight="true" outlineLevel="0" collapsed="false">
      <c r="C514" s="34"/>
    </row>
    <row r="515" customFormat="false" ht="15.75" hidden="false" customHeight="true" outlineLevel="0" collapsed="false">
      <c r="C515" s="34"/>
    </row>
    <row r="516" customFormat="false" ht="15.75" hidden="false" customHeight="true" outlineLevel="0" collapsed="false">
      <c r="C516" s="34"/>
    </row>
    <row r="517" customFormat="false" ht="15.75" hidden="false" customHeight="true" outlineLevel="0" collapsed="false">
      <c r="C517" s="34"/>
    </row>
    <row r="518" customFormat="false" ht="15.75" hidden="false" customHeight="true" outlineLevel="0" collapsed="false">
      <c r="C518" s="34"/>
    </row>
    <row r="519" customFormat="false" ht="15.75" hidden="false" customHeight="true" outlineLevel="0" collapsed="false">
      <c r="C519" s="34"/>
    </row>
    <row r="520" customFormat="false" ht="15.75" hidden="false" customHeight="true" outlineLevel="0" collapsed="false">
      <c r="C520" s="34"/>
    </row>
    <row r="521" customFormat="false" ht="15.75" hidden="false" customHeight="true" outlineLevel="0" collapsed="false">
      <c r="C521" s="34"/>
    </row>
    <row r="522" customFormat="false" ht="15.75" hidden="false" customHeight="true" outlineLevel="0" collapsed="false">
      <c r="C522" s="34"/>
    </row>
    <row r="523" customFormat="false" ht="15.75" hidden="false" customHeight="true" outlineLevel="0" collapsed="false">
      <c r="C523" s="34"/>
    </row>
    <row r="524" customFormat="false" ht="15.75" hidden="false" customHeight="true" outlineLevel="0" collapsed="false">
      <c r="C524" s="34"/>
    </row>
    <row r="525" customFormat="false" ht="15.75" hidden="false" customHeight="true" outlineLevel="0" collapsed="false">
      <c r="C525" s="34"/>
    </row>
    <row r="526" customFormat="false" ht="15.75" hidden="false" customHeight="true" outlineLevel="0" collapsed="false">
      <c r="C526" s="34"/>
    </row>
    <row r="527" customFormat="false" ht="15.75" hidden="false" customHeight="true" outlineLevel="0" collapsed="false">
      <c r="C527" s="34"/>
    </row>
    <row r="528" customFormat="false" ht="15.75" hidden="false" customHeight="true" outlineLevel="0" collapsed="false">
      <c r="C528" s="34"/>
    </row>
    <row r="529" customFormat="false" ht="15.75" hidden="false" customHeight="true" outlineLevel="0" collapsed="false">
      <c r="C529" s="34"/>
    </row>
    <row r="530" customFormat="false" ht="15.75" hidden="false" customHeight="true" outlineLevel="0" collapsed="false">
      <c r="C530" s="34"/>
    </row>
    <row r="531" customFormat="false" ht="15.75" hidden="false" customHeight="true" outlineLevel="0" collapsed="false">
      <c r="C531" s="34"/>
    </row>
    <row r="532" customFormat="false" ht="15.75" hidden="false" customHeight="true" outlineLevel="0" collapsed="false">
      <c r="C532" s="34"/>
    </row>
    <row r="533" customFormat="false" ht="15.75" hidden="false" customHeight="true" outlineLevel="0" collapsed="false">
      <c r="C533" s="34"/>
    </row>
    <row r="534" customFormat="false" ht="15.75" hidden="false" customHeight="true" outlineLevel="0" collapsed="false">
      <c r="C534" s="34"/>
    </row>
    <row r="535" customFormat="false" ht="15.75" hidden="false" customHeight="true" outlineLevel="0" collapsed="false">
      <c r="C535" s="34"/>
    </row>
    <row r="536" customFormat="false" ht="15.75" hidden="false" customHeight="true" outlineLevel="0" collapsed="false">
      <c r="C536" s="34"/>
    </row>
    <row r="537" customFormat="false" ht="15.75" hidden="false" customHeight="true" outlineLevel="0" collapsed="false">
      <c r="C537" s="34"/>
    </row>
    <row r="538" customFormat="false" ht="15.75" hidden="false" customHeight="true" outlineLevel="0" collapsed="false">
      <c r="C538" s="34"/>
    </row>
    <row r="539" customFormat="false" ht="15.75" hidden="false" customHeight="true" outlineLevel="0" collapsed="false">
      <c r="C539" s="34"/>
    </row>
    <row r="540" customFormat="false" ht="15.75" hidden="false" customHeight="true" outlineLevel="0" collapsed="false">
      <c r="C540" s="34"/>
    </row>
    <row r="541" customFormat="false" ht="15.75" hidden="false" customHeight="true" outlineLevel="0" collapsed="false">
      <c r="C541" s="34"/>
    </row>
    <row r="542" customFormat="false" ht="15.75" hidden="false" customHeight="true" outlineLevel="0" collapsed="false">
      <c r="C542" s="34"/>
    </row>
    <row r="543" customFormat="false" ht="15.75" hidden="false" customHeight="true" outlineLevel="0" collapsed="false">
      <c r="C543" s="34"/>
    </row>
    <row r="544" customFormat="false" ht="15.75" hidden="false" customHeight="true" outlineLevel="0" collapsed="false">
      <c r="C544" s="34"/>
    </row>
    <row r="545" customFormat="false" ht="15.75" hidden="false" customHeight="true" outlineLevel="0" collapsed="false">
      <c r="C545" s="34"/>
    </row>
    <row r="546" customFormat="false" ht="15.75" hidden="false" customHeight="true" outlineLevel="0" collapsed="false">
      <c r="C546" s="34"/>
    </row>
    <row r="547" customFormat="false" ht="15.75" hidden="false" customHeight="true" outlineLevel="0" collapsed="false">
      <c r="C547" s="34"/>
    </row>
    <row r="548" customFormat="false" ht="15.75" hidden="false" customHeight="true" outlineLevel="0" collapsed="false">
      <c r="C548" s="34"/>
    </row>
    <row r="549" customFormat="false" ht="15.75" hidden="false" customHeight="true" outlineLevel="0" collapsed="false">
      <c r="C549" s="34"/>
    </row>
    <row r="550" customFormat="false" ht="15.75" hidden="false" customHeight="true" outlineLevel="0" collapsed="false">
      <c r="C550" s="34"/>
    </row>
    <row r="551" customFormat="false" ht="15.75" hidden="false" customHeight="true" outlineLevel="0" collapsed="false">
      <c r="C551" s="34"/>
    </row>
    <row r="552" customFormat="false" ht="15.75" hidden="false" customHeight="true" outlineLevel="0" collapsed="false">
      <c r="C552" s="34"/>
    </row>
    <row r="553" customFormat="false" ht="15.75" hidden="false" customHeight="true" outlineLevel="0" collapsed="false">
      <c r="C553" s="34"/>
    </row>
    <row r="554" customFormat="false" ht="15.75" hidden="false" customHeight="true" outlineLevel="0" collapsed="false">
      <c r="C554" s="34"/>
    </row>
    <row r="555" customFormat="false" ht="15.75" hidden="false" customHeight="true" outlineLevel="0" collapsed="false">
      <c r="C555" s="34"/>
    </row>
    <row r="556" customFormat="false" ht="15.75" hidden="false" customHeight="true" outlineLevel="0" collapsed="false">
      <c r="C556" s="34"/>
    </row>
    <row r="557" customFormat="false" ht="15.75" hidden="false" customHeight="true" outlineLevel="0" collapsed="false">
      <c r="C557" s="34"/>
    </row>
    <row r="558" customFormat="false" ht="15.75" hidden="false" customHeight="true" outlineLevel="0" collapsed="false">
      <c r="C558" s="34"/>
    </row>
    <row r="559" customFormat="false" ht="15.75" hidden="false" customHeight="true" outlineLevel="0" collapsed="false">
      <c r="C559" s="34"/>
    </row>
    <row r="560" customFormat="false" ht="15.75" hidden="false" customHeight="true" outlineLevel="0" collapsed="false">
      <c r="C560" s="34"/>
    </row>
    <row r="561" customFormat="false" ht="15.75" hidden="false" customHeight="true" outlineLevel="0" collapsed="false">
      <c r="C561" s="34"/>
    </row>
    <row r="562" customFormat="false" ht="15.75" hidden="false" customHeight="true" outlineLevel="0" collapsed="false">
      <c r="C562" s="34"/>
    </row>
    <row r="563" customFormat="false" ht="15.75" hidden="false" customHeight="true" outlineLevel="0" collapsed="false">
      <c r="C563" s="34"/>
    </row>
    <row r="564" customFormat="false" ht="15.75" hidden="false" customHeight="true" outlineLevel="0" collapsed="false">
      <c r="C564" s="34"/>
    </row>
    <row r="565" customFormat="false" ht="15.75" hidden="false" customHeight="true" outlineLevel="0" collapsed="false">
      <c r="C565" s="34"/>
    </row>
    <row r="566" customFormat="false" ht="15.75" hidden="false" customHeight="true" outlineLevel="0" collapsed="false">
      <c r="C566" s="34"/>
    </row>
    <row r="567" customFormat="false" ht="15.75" hidden="false" customHeight="true" outlineLevel="0" collapsed="false">
      <c r="C567" s="34"/>
    </row>
    <row r="568" customFormat="false" ht="15.75" hidden="false" customHeight="true" outlineLevel="0" collapsed="false">
      <c r="C568" s="34"/>
    </row>
    <row r="569" customFormat="false" ht="15.75" hidden="false" customHeight="true" outlineLevel="0" collapsed="false">
      <c r="C569" s="34"/>
    </row>
    <row r="570" customFormat="false" ht="15.75" hidden="false" customHeight="true" outlineLevel="0" collapsed="false">
      <c r="C570" s="34"/>
    </row>
    <row r="571" customFormat="false" ht="15.75" hidden="false" customHeight="true" outlineLevel="0" collapsed="false">
      <c r="C571" s="34"/>
    </row>
    <row r="572" customFormat="false" ht="15.75" hidden="false" customHeight="true" outlineLevel="0" collapsed="false">
      <c r="C572" s="34"/>
    </row>
    <row r="573" customFormat="false" ht="15.75" hidden="false" customHeight="true" outlineLevel="0" collapsed="false">
      <c r="C573" s="34"/>
    </row>
    <row r="574" customFormat="false" ht="15.75" hidden="false" customHeight="true" outlineLevel="0" collapsed="false">
      <c r="C574" s="34"/>
    </row>
    <row r="575" customFormat="false" ht="15.75" hidden="false" customHeight="true" outlineLevel="0" collapsed="false">
      <c r="C575" s="34"/>
    </row>
    <row r="576" customFormat="false" ht="15.75" hidden="false" customHeight="true" outlineLevel="0" collapsed="false">
      <c r="C576" s="34"/>
    </row>
    <row r="577" customFormat="false" ht="15.75" hidden="false" customHeight="true" outlineLevel="0" collapsed="false">
      <c r="C577" s="34"/>
    </row>
    <row r="578" customFormat="false" ht="15.75" hidden="false" customHeight="true" outlineLevel="0" collapsed="false">
      <c r="C578" s="34"/>
    </row>
    <row r="579" customFormat="false" ht="15.75" hidden="false" customHeight="true" outlineLevel="0" collapsed="false">
      <c r="C579" s="34"/>
    </row>
    <row r="580" customFormat="false" ht="15.75" hidden="false" customHeight="true" outlineLevel="0" collapsed="false">
      <c r="C580" s="34"/>
    </row>
    <row r="581" customFormat="false" ht="15.75" hidden="false" customHeight="true" outlineLevel="0" collapsed="false">
      <c r="C581" s="34"/>
    </row>
    <row r="582" customFormat="false" ht="15.75" hidden="false" customHeight="true" outlineLevel="0" collapsed="false">
      <c r="C582" s="34"/>
    </row>
    <row r="583" customFormat="false" ht="15.75" hidden="false" customHeight="true" outlineLevel="0" collapsed="false">
      <c r="C583" s="34"/>
    </row>
    <row r="584" customFormat="false" ht="15.75" hidden="false" customHeight="true" outlineLevel="0" collapsed="false">
      <c r="C584" s="34"/>
    </row>
    <row r="585" customFormat="false" ht="15.75" hidden="false" customHeight="true" outlineLevel="0" collapsed="false">
      <c r="C585" s="34"/>
    </row>
    <row r="586" customFormat="false" ht="15.75" hidden="false" customHeight="true" outlineLevel="0" collapsed="false">
      <c r="C586" s="34"/>
    </row>
    <row r="587" customFormat="false" ht="15.75" hidden="false" customHeight="true" outlineLevel="0" collapsed="false">
      <c r="C587" s="34"/>
    </row>
    <row r="588" customFormat="false" ht="15.75" hidden="false" customHeight="true" outlineLevel="0" collapsed="false">
      <c r="C588" s="34"/>
    </row>
    <row r="589" customFormat="false" ht="15.75" hidden="false" customHeight="true" outlineLevel="0" collapsed="false">
      <c r="C589" s="34"/>
    </row>
    <row r="590" customFormat="false" ht="15.75" hidden="false" customHeight="true" outlineLevel="0" collapsed="false">
      <c r="C590" s="34"/>
    </row>
    <row r="591" customFormat="false" ht="15.75" hidden="false" customHeight="true" outlineLevel="0" collapsed="false">
      <c r="C591" s="34"/>
    </row>
    <row r="592" customFormat="false" ht="15.75" hidden="false" customHeight="true" outlineLevel="0" collapsed="false">
      <c r="C592" s="34"/>
    </row>
    <row r="593" customFormat="false" ht="15.75" hidden="false" customHeight="true" outlineLevel="0" collapsed="false">
      <c r="C593" s="34"/>
    </row>
    <row r="594" customFormat="false" ht="15.75" hidden="false" customHeight="true" outlineLevel="0" collapsed="false">
      <c r="C594" s="34"/>
    </row>
    <row r="595" customFormat="false" ht="15.75" hidden="false" customHeight="true" outlineLevel="0" collapsed="false">
      <c r="C595" s="34"/>
    </row>
    <row r="596" customFormat="false" ht="15.75" hidden="false" customHeight="true" outlineLevel="0" collapsed="false">
      <c r="C596" s="34"/>
    </row>
    <row r="597" customFormat="false" ht="15.75" hidden="false" customHeight="true" outlineLevel="0" collapsed="false">
      <c r="C597" s="34"/>
    </row>
    <row r="598" customFormat="false" ht="15.75" hidden="false" customHeight="true" outlineLevel="0" collapsed="false">
      <c r="C598" s="34"/>
    </row>
    <row r="599" customFormat="false" ht="15.75" hidden="false" customHeight="true" outlineLevel="0" collapsed="false">
      <c r="C599" s="34"/>
    </row>
    <row r="600" customFormat="false" ht="15.75" hidden="false" customHeight="true" outlineLevel="0" collapsed="false">
      <c r="C600" s="34"/>
    </row>
    <row r="601" customFormat="false" ht="15.75" hidden="false" customHeight="true" outlineLevel="0" collapsed="false">
      <c r="C601" s="34"/>
    </row>
    <row r="602" customFormat="false" ht="15.75" hidden="false" customHeight="true" outlineLevel="0" collapsed="false">
      <c r="C602" s="34"/>
    </row>
    <row r="603" customFormat="false" ht="15.75" hidden="false" customHeight="true" outlineLevel="0" collapsed="false">
      <c r="C603" s="34"/>
    </row>
    <row r="604" customFormat="false" ht="15.75" hidden="false" customHeight="true" outlineLevel="0" collapsed="false">
      <c r="C604" s="34"/>
    </row>
    <row r="605" customFormat="false" ht="15.75" hidden="false" customHeight="true" outlineLevel="0" collapsed="false">
      <c r="C605" s="34"/>
    </row>
    <row r="606" customFormat="false" ht="15.75" hidden="false" customHeight="true" outlineLevel="0" collapsed="false">
      <c r="C606" s="34"/>
    </row>
    <row r="607" customFormat="false" ht="15.75" hidden="false" customHeight="true" outlineLevel="0" collapsed="false">
      <c r="C607" s="34"/>
    </row>
    <row r="608" customFormat="false" ht="15.75" hidden="false" customHeight="true" outlineLevel="0" collapsed="false">
      <c r="C608" s="34"/>
    </row>
    <row r="609" customFormat="false" ht="15.75" hidden="false" customHeight="true" outlineLevel="0" collapsed="false">
      <c r="C609" s="34"/>
    </row>
    <row r="610" customFormat="false" ht="15.75" hidden="false" customHeight="true" outlineLevel="0" collapsed="false">
      <c r="C610" s="34"/>
    </row>
    <row r="611" customFormat="false" ht="15.75" hidden="false" customHeight="true" outlineLevel="0" collapsed="false">
      <c r="C611" s="34"/>
    </row>
    <row r="612" customFormat="false" ht="15.75" hidden="false" customHeight="true" outlineLevel="0" collapsed="false">
      <c r="C612" s="34"/>
    </row>
    <row r="613" customFormat="false" ht="15.75" hidden="false" customHeight="true" outlineLevel="0" collapsed="false">
      <c r="C613" s="34"/>
    </row>
    <row r="614" customFormat="false" ht="15.75" hidden="false" customHeight="true" outlineLevel="0" collapsed="false">
      <c r="C614" s="34"/>
    </row>
    <row r="615" customFormat="false" ht="15.75" hidden="false" customHeight="true" outlineLevel="0" collapsed="false">
      <c r="C615" s="34"/>
    </row>
    <row r="616" customFormat="false" ht="15.75" hidden="false" customHeight="true" outlineLevel="0" collapsed="false">
      <c r="C616" s="34"/>
    </row>
    <row r="617" customFormat="false" ht="15.75" hidden="false" customHeight="true" outlineLevel="0" collapsed="false">
      <c r="C617" s="34"/>
    </row>
    <row r="618" customFormat="false" ht="15.75" hidden="false" customHeight="true" outlineLevel="0" collapsed="false">
      <c r="C618" s="34"/>
    </row>
    <row r="619" customFormat="false" ht="15.75" hidden="false" customHeight="true" outlineLevel="0" collapsed="false">
      <c r="C619" s="34"/>
    </row>
    <row r="620" customFormat="false" ht="15.75" hidden="false" customHeight="true" outlineLevel="0" collapsed="false">
      <c r="C620" s="34"/>
    </row>
    <row r="621" customFormat="false" ht="15.75" hidden="false" customHeight="true" outlineLevel="0" collapsed="false">
      <c r="C621" s="34"/>
    </row>
    <row r="622" customFormat="false" ht="15.75" hidden="false" customHeight="true" outlineLevel="0" collapsed="false">
      <c r="C622" s="34"/>
    </row>
    <row r="623" customFormat="false" ht="15.75" hidden="false" customHeight="true" outlineLevel="0" collapsed="false">
      <c r="C623" s="34"/>
    </row>
    <row r="624" customFormat="false" ht="15.75" hidden="false" customHeight="true" outlineLevel="0" collapsed="false">
      <c r="C624" s="34"/>
    </row>
    <row r="625" customFormat="false" ht="15.75" hidden="false" customHeight="true" outlineLevel="0" collapsed="false">
      <c r="C625" s="34"/>
    </row>
    <row r="626" customFormat="false" ht="15.75" hidden="false" customHeight="true" outlineLevel="0" collapsed="false">
      <c r="C626" s="34"/>
    </row>
    <row r="627" customFormat="false" ht="15.75" hidden="false" customHeight="true" outlineLevel="0" collapsed="false">
      <c r="C627" s="34"/>
    </row>
    <row r="628" customFormat="false" ht="15.75" hidden="false" customHeight="true" outlineLevel="0" collapsed="false">
      <c r="C628" s="34"/>
    </row>
    <row r="629" customFormat="false" ht="15.75" hidden="false" customHeight="true" outlineLevel="0" collapsed="false">
      <c r="C629" s="34"/>
    </row>
    <row r="630" customFormat="false" ht="15.75" hidden="false" customHeight="true" outlineLevel="0" collapsed="false">
      <c r="C630" s="34"/>
    </row>
    <row r="631" customFormat="false" ht="15.75" hidden="false" customHeight="true" outlineLevel="0" collapsed="false">
      <c r="C631" s="34"/>
    </row>
    <row r="632" customFormat="false" ht="15.75" hidden="false" customHeight="true" outlineLevel="0" collapsed="false">
      <c r="C632" s="34"/>
    </row>
    <row r="633" customFormat="false" ht="15.75" hidden="false" customHeight="true" outlineLevel="0" collapsed="false">
      <c r="C633" s="34"/>
    </row>
    <row r="634" customFormat="false" ht="15.75" hidden="false" customHeight="true" outlineLevel="0" collapsed="false">
      <c r="C634" s="34"/>
    </row>
    <row r="635" customFormat="false" ht="15.75" hidden="false" customHeight="true" outlineLevel="0" collapsed="false">
      <c r="C635" s="34"/>
    </row>
    <row r="636" customFormat="false" ht="15.75" hidden="false" customHeight="true" outlineLevel="0" collapsed="false">
      <c r="C636" s="34"/>
    </row>
    <row r="637" customFormat="false" ht="15.75" hidden="false" customHeight="true" outlineLevel="0" collapsed="false">
      <c r="C637" s="34"/>
    </row>
    <row r="638" customFormat="false" ht="15.75" hidden="false" customHeight="true" outlineLevel="0" collapsed="false">
      <c r="C638" s="34"/>
    </row>
    <row r="639" customFormat="false" ht="15.75" hidden="false" customHeight="true" outlineLevel="0" collapsed="false">
      <c r="C639" s="34"/>
    </row>
    <row r="640" customFormat="false" ht="15.75" hidden="false" customHeight="true" outlineLevel="0" collapsed="false">
      <c r="C640" s="34"/>
    </row>
    <row r="641" customFormat="false" ht="15.75" hidden="false" customHeight="true" outlineLevel="0" collapsed="false">
      <c r="C641" s="34"/>
    </row>
    <row r="642" customFormat="false" ht="15.75" hidden="false" customHeight="true" outlineLevel="0" collapsed="false">
      <c r="C642" s="34"/>
    </row>
    <row r="643" customFormat="false" ht="15.75" hidden="false" customHeight="true" outlineLevel="0" collapsed="false">
      <c r="C643" s="34"/>
    </row>
    <row r="644" customFormat="false" ht="15.75" hidden="false" customHeight="true" outlineLevel="0" collapsed="false">
      <c r="C644" s="34"/>
    </row>
    <row r="645" customFormat="false" ht="15.75" hidden="false" customHeight="true" outlineLevel="0" collapsed="false">
      <c r="C645" s="34"/>
    </row>
    <row r="646" customFormat="false" ht="15.75" hidden="false" customHeight="true" outlineLevel="0" collapsed="false">
      <c r="C646" s="34"/>
    </row>
    <row r="647" customFormat="false" ht="15.75" hidden="false" customHeight="true" outlineLevel="0" collapsed="false">
      <c r="C647" s="34"/>
    </row>
    <row r="648" customFormat="false" ht="15.75" hidden="false" customHeight="true" outlineLevel="0" collapsed="false">
      <c r="C648" s="34"/>
    </row>
    <row r="649" customFormat="false" ht="15.75" hidden="false" customHeight="true" outlineLevel="0" collapsed="false">
      <c r="C649" s="34"/>
    </row>
    <row r="650" customFormat="false" ht="15.75" hidden="false" customHeight="true" outlineLevel="0" collapsed="false">
      <c r="C650" s="34"/>
    </row>
    <row r="651" customFormat="false" ht="15.75" hidden="false" customHeight="true" outlineLevel="0" collapsed="false">
      <c r="C651" s="34"/>
    </row>
    <row r="652" customFormat="false" ht="15.75" hidden="false" customHeight="true" outlineLevel="0" collapsed="false">
      <c r="C652" s="34"/>
    </row>
    <row r="653" customFormat="false" ht="15.75" hidden="false" customHeight="true" outlineLevel="0" collapsed="false">
      <c r="C653" s="34"/>
    </row>
    <row r="654" customFormat="false" ht="15.75" hidden="false" customHeight="true" outlineLevel="0" collapsed="false">
      <c r="C654" s="34"/>
    </row>
    <row r="655" customFormat="false" ht="15.75" hidden="false" customHeight="true" outlineLevel="0" collapsed="false">
      <c r="C655" s="34"/>
    </row>
    <row r="656" customFormat="false" ht="15.75" hidden="false" customHeight="true" outlineLevel="0" collapsed="false">
      <c r="C656" s="34"/>
    </row>
    <row r="657" customFormat="false" ht="15.75" hidden="false" customHeight="true" outlineLevel="0" collapsed="false">
      <c r="C657" s="34"/>
    </row>
    <row r="658" customFormat="false" ht="15.75" hidden="false" customHeight="true" outlineLevel="0" collapsed="false">
      <c r="C658" s="34"/>
    </row>
    <row r="659" customFormat="false" ht="15.75" hidden="false" customHeight="true" outlineLevel="0" collapsed="false">
      <c r="C659" s="34"/>
    </row>
    <row r="660" customFormat="false" ht="15.75" hidden="false" customHeight="true" outlineLevel="0" collapsed="false">
      <c r="C660" s="34"/>
    </row>
    <row r="661" customFormat="false" ht="15.75" hidden="false" customHeight="true" outlineLevel="0" collapsed="false">
      <c r="C661" s="34"/>
    </row>
    <row r="662" customFormat="false" ht="15.75" hidden="false" customHeight="true" outlineLevel="0" collapsed="false">
      <c r="C662" s="34"/>
    </row>
    <row r="663" customFormat="false" ht="15.75" hidden="false" customHeight="true" outlineLevel="0" collapsed="false">
      <c r="C663" s="34"/>
    </row>
    <row r="664" customFormat="false" ht="15.75" hidden="false" customHeight="true" outlineLevel="0" collapsed="false">
      <c r="C664" s="34"/>
    </row>
    <row r="665" customFormat="false" ht="15.75" hidden="false" customHeight="true" outlineLevel="0" collapsed="false">
      <c r="C665" s="34"/>
    </row>
    <row r="666" customFormat="false" ht="15.75" hidden="false" customHeight="true" outlineLevel="0" collapsed="false">
      <c r="C666" s="34"/>
    </row>
    <row r="667" customFormat="false" ht="15.75" hidden="false" customHeight="true" outlineLevel="0" collapsed="false">
      <c r="C667" s="34"/>
    </row>
    <row r="668" customFormat="false" ht="15.75" hidden="false" customHeight="true" outlineLevel="0" collapsed="false">
      <c r="C668" s="34"/>
    </row>
    <row r="669" customFormat="false" ht="15.75" hidden="false" customHeight="true" outlineLevel="0" collapsed="false">
      <c r="C669" s="34"/>
    </row>
    <row r="670" customFormat="false" ht="15.75" hidden="false" customHeight="true" outlineLevel="0" collapsed="false">
      <c r="C670" s="34"/>
    </row>
    <row r="671" customFormat="false" ht="15.75" hidden="false" customHeight="true" outlineLevel="0" collapsed="false">
      <c r="C671" s="34"/>
    </row>
    <row r="672" customFormat="false" ht="15.75" hidden="false" customHeight="true" outlineLevel="0" collapsed="false">
      <c r="C672" s="34"/>
    </row>
    <row r="673" customFormat="false" ht="15.75" hidden="false" customHeight="true" outlineLevel="0" collapsed="false">
      <c r="C673" s="34"/>
    </row>
    <row r="674" customFormat="false" ht="15.75" hidden="false" customHeight="true" outlineLevel="0" collapsed="false">
      <c r="C674" s="34"/>
    </row>
    <row r="675" customFormat="false" ht="15.75" hidden="false" customHeight="true" outlineLevel="0" collapsed="false">
      <c r="C675" s="34"/>
    </row>
    <row r="676" customFormat="false" ht="15.75" hidden="false" customHeight="true" outlineLevel="0" collapsed="false">
      <c r="C676" s="34"/>
    </row>
    <row r="677" customFormat="false" ht="15.75" hidden="false" customHeight="true" outlineLevel="0" collapsed="false">
      <c r="C677" s="34"/>
    </row>
    <row r="678" customFormat="false" ht="15.75" hidden="false" customHeight="true" outlineLevel="0" collapsed="false">
      <c r="C678" s="34"/>
    </row>
    <row r="679" customFormat="false" ht="15.75" hidden="false" customHeight="true" outlineLevel="0" collapsed="false">
      <c r="C679" s="34"/>
    </row>
    <row r="680" customFormat="false" ht="15.75" hidden="false" customHeight="true" outlineLevel="0" collapsed="false">
      <c r="C680" s="34"/>
    </row>
    <row r="681" customFormat="false" ht="15.75" hidden="false" customHeight="true" outlineLevel="0" collapsed="false">
      <c r="C681" s="34"/>
    </row>
    <row r="682" customFormat="false" ht="15.75" hidden="false" customHeight="true" outlineLevel="0" collapsed="false">
      <c r="C682" s="34"/>
    </row>
    <row r="683" customFormat="false" ht="15.75" hidden="false" customHeight="true" outlineLevel="0" collapsed="false">
      <c r="C683" s="34"/>
    </row>
    <row r="684" customFormat="false" ht="15.75" hidden="false" customHeight="true" outlineLevel="0" collapsed="false">
      <c r="C684" s="34"/>
    </row>
    <row r="685" customFormat="false" ht="15.75" hidden="false" customHeight="true" outlineLevel="0" collapsed="false">
      <c r="C685" s="34"/>
    </row>
    <row r="686" customFormat="false" ht="15.75" hidden="false" customHeight="true" outlineLevel="0" collapsed="false">
      <c r="C686" s="34"/>
    </row>
    <row r="687" customFormat="false" ht="15.75" hidden="false" customHeight="true" outlineLevel="0" collapsed="false">
      <c r="C687" s="34"/>
    </row>
    <row r="688" customFormat="false" ht="15.75" hidden="false" customHeight="true" outlineLevel="0" collapsed="false">
      <c r="C688" s="34"/>
    </row>
    <row r="689" customFormat="false" ht="15.75" hidden="false" customHeight="true" outlineLevel="0" collapsed="false">
      <c r="C689" s="34"/>
    </row>
    <row r="690" customFormat="false" ht="15.75" hidden="false" customHeight="true" outlineLevel="0" collapsed="false">
      <c r="C690" s="34"/>
    </row>
    <row r="691" customFormat="false" ht="15.75" hidden="false" customHeight="true" outlineLevel="0" collapsed="false">
      <c r="C691" s="34"/>
    </row>
    <row r="692" customFormat="false" ht="15.75" hidden="false" customHeight="true" outlineLevel="0" collapsed="false">
      <c r="C692" s="34"/>
    </row>
    <row r="693" customFormat="false" ht="15.75" hidden="false" customHeight="true" outlineLevel="0" collapsed="false">
      <c r="C693" s="34"/>
    </row>
    <row r="694" customFormat="false" ht="15.75" hidden="false" customHeight="true" outlineLevel="0" collapsed="false">
      <c r="C694" s="34"/>
    </row>
    <row r="695" customFormat="false" ht="15.75" hidden="false" customHeight="true" outlineLevel="0" collapsed="false">
      <c r="C695" s="34"/>
    </row>
    <row r="696" customFormat="false" ht="15.75" hidden="false" customHeight="true" outlineLevel="0" collapsed="false">
      <c r="C696" s="34"/>
    </row>
    <row r="697" customFormat="false" ht="15.75" hidden="false" customHeight="true" outlineLevel="0" collapsed="false">
      <c r="C697" s="34"/>
    </row>
    <row r="698" customFormat="false" ht="15.75" hidden="false" customHeight="true" outlineLevel="0" collapsed="false">
      <c r="C698" s="34"/>
    </row>
    <row r="699" customFormat="false" ht="15.75" hidden="false" customHeight="true" outlineLevel="0" collapsed="false">
      <c r="C699" s="34"/>
    </row>
    <row r="700" customFormat="false" ht="15.75" hidden="false" customHeight="true" outlineLevel="0" collapsed="false">
      <c r="C700" s="34"/>
    </row>
    <row r="701" customFormat="false" ht="15.75" hidden="false" customHeight="true" outlineLevel="0" collapsed="false">
      <c r="C701" s="34"/>
    </row>
    <row r="702" customFormat="false" ht="15.75" hidden="false" customHeight="true" outlineLevel="0" collapsed="false">
      <c r="C702" s="34"/>
    </row>
    <row r="703" customFormat="false" ht="15.75" hidden="false" customHeight="true" outlineLevel="0" collapsed="false">
      <c r="C703" s="34"/>
    </row>
    <row r="704" customFormat="false" ht="15.75" hidden="false" customHeight="true" outlineLevel="0" collapsed="false">
      <c r="C704" s="34"/>
    </row>
    <row r="705" customFormat="false" ht="15.75" hidden="false" customHeight="true" outlineLevel="0" collapsed="false">
      <c r="C705" s="34"/>
    </row>
    <row r="706" customFormat="false" ht="15.75" hidden="false" customHeight="true" outlineLevel="0" collapsed="false">
      <c r="C706" s="34"/>
    </row>
    <row r="707" customFormat="false" ht="15.75" hidden="false" customHeight="true" outlineLevel="0" collapsed="false">
      <c r="C707" s="34"/>
    </row>
    <row r="708" customFormat="false" ht="15.75" hidden="false" customHeight="true" outlineLevel="0" collapsed="false">
      <c r="C708" s="34"/>
    </row>
    <row r="709" customFormat="false" ht="15.75" hidden="false" customHeight="true" outlineLevel="0" collapsed="false">
      <c r="C709" s="34"/>
    </row>
    <row r="710" customFormat="false" ht="15.75" hidden="false" customHeight="true" outlineLevel="0" collapsed="false">
      <c r="C710" s="34"/>
    </row>
    <row r="711" customFormat="false" ht="15.75" hidden="false" customHeight="true" outlineLevel="0" collapsed="false">
      <c r="C711" s="34"/>
    </row>
    <row r="712" customFormat="false" ht="15.75" hidden="false" customHeight="true" outlineLevel="0" collapsed="false">
      <c r="C712" s="34"/>
    </row>
    <row r="713" customFormat="false" ht="15.75" hidden="false" customHeight="true" outlineLevel="0" collapsed="false">
      <c r="C713" s="34"/>
    </row>
    <row r="714" customFormat="false" ht="15.75" hidden="false" customHeight="true" outlineLevel="0" collapsed="false">
      <c r="C714" s="34"/>
    </row>
    <row r="715" customFormat="false" ht="15.75" hidden="false" customHeight="true" outlineLevel="0" collapsed="false">
      <c r="C715" s="34"/>
    </row>
    <row r="716" customFormat="false" ht="15.75" hidden="false" customHeight="true" outlineLevel="0" collapsed="false">
      <c r="C716" s="34"/>
    </row>
    <row r="717" customFormat="false" ht="15.75" hidden="false" customHeight="true" outlineLevel="0" collapsed="false">
      <c r="C717" s="34"/>
    </row>
    <row r="718" customFormat="false" ht="15.75" hidden="false" customHeight="true" outlineLevel="0" collapsed="false">
      <c r="C718" s="34"/>
    </row>
    <row r="719" customFormat="false" ht="15.75" hidden="false" customHeight="true" outlineLevel="0" collapsed="false">
      <c r="C719" s="34"/>
    </row>
    <row r="720" customFormat="false" ht="15.75" hidden="false" customHeight="true" outlineLevel="0" collapsed="false">
      <c r="C720" s="34"/>
    </row>
    <row r="721" customFormat="false" ht="15.75" hidden="false" customHeight="true" outlineLevel="0" collapsed="false">
      <c r="C721" s="34"/>
    </row>
    <row r="722" customFormat="false" ht="15.75" hidden="false" customHeight="true" outlineLevel="0" collapsed="false">
      <c r="C722" s="34"/>
    </row>
    <row r="723" customFormat="false" ht="15.75" hidden="false" customHeight="true" outlineLevel="0" collapsed="false">
      <c r="C723" s="34"/>
    </row>
    <row r="724" customFormat="false" ht="15.75" hidden="false" customHeight="true" outlineLevel="0" collapsed="false">
      <c r="C724" s="34"/>
    </row>
    <row r="725" customFormat="false" ht="15.75" hidden="false" customHeight="true" outlineLevel="0" collapsed="false">
      <c r="C725" s="34"/>
    </row>
    <row r="726" customFormat="false" ht="15.75" hidden="false" customHeight="true" outlineLevel="0" collapsed="false">
      <c r="C726" s="34"/>
    </row>
    <row r="727" customFormat="false" ht="15.75" hidden="false" customHeight="true" outlineLevel="0" collapsed="false">
      <c r="C727" s="34"/>
    </row>
    <row r="728" customFormat="false" ht="15.75" hidden="false" customHeight="true" outlineLevel="0" collapsed="false">
      <c r="C728" s="34"/>
    </row>
    <row r="729" customFormat="false" ht="15.75" hidden="false" customHeight="true" outlineLevel="0" collapsed="false">
      <c r="C729" s="34"/>
    </row>
    <row r="730" customFormat="false" ht="15.75" hidden="false" customHeight="true" outlineLevel="0" collapsed="false">
      <c r="C730" s="34"/>
    </row>
    <row r="731" customFormat="false" ht="15.75" hidden="false" customHeight="true" outlineLevel="0" collapsed="false">
      <c r="C731" s="34"/>
    </row>
    <row r="732" customFormat="false" ht="15.75" hidden="false" customHeight="true" outlineLevel="0" collapsed="false">
      <c r="C732" s="34"/>
    </row>
    <row r="733" customFormat="false" ht="15.75" hidden="false" customHeight="true" outlineLevel="0" collapsed="false">
      <c r="C733" s="34"/>
    </row>
    <row r="734" customFormat="false" ht="15.75" hidden="false" customHeight="true" outlineLevel="0" collapsed="false">
      <c r="C734" s="34"/>
    </row>
    <row r="735" customFormat="false" ht="15.75" hidden="false" customHeight="true" outlineLevel="0" collapsed="false">
      <c r="C735" s="34"/>
    </row>
    <row r="736" customFormat="false" ht="15.75" hidden="false" customHeight="true" outlineLevel="0" collapsed="false">
      <c r="C736" s="34"/>
    </row>
    <row r="737" customFormat="false" ht="15.75" hidden="false" customHeight="true" outlineLevel="0" collapsed="false">
      <c r="C737" s="34"/>
    </row>
    <row r="738" customFormat="false" ht="15.75" hidden="false" customHeight="true" outlineLevel="0" collapsed="false">
      <c r="C738" s="34"/>
    </row>
    <row r="739" customFormat="false" ht="15.75" hidden="false" customHeight="true" outlineLevel="0" collapsed="false">
      <c r="C739" s="34"/>
    </row>
    <row r="740" customFormat="false" ht="15.75" hidden="false" customHeight="true" outlineLevel="0" collapsed="false">
      <c r="C740" s="34"/>
    </row>
    <row r="741" customFormat="false" ht="15.75" hidden="false" customHeight="true" outlineLevel="0" collapsed="false">
      <c r="C741" s="34"/>
    </row>
    <row r="742" customFormat="false" ht="15.75" hidden="false" customHeight="true" outlineLevel="0" collapsed="false">
      <c r="C742" s="34"/>
    </row>
    <row r="743" customFormat="false" ht="15.75" hidden="false" customHeight="true" outlineLevel="0" collapsed="false">
      <c r="C743" s="34"/>
    </row>
    <row r="744" customFormat="false" ht="15.75" hidden="false" customHeight="true" outlineLevel="0" collapsed="false">
      <c r="C744" s="34"/>
    </row>
    <row r="745" customFormat="false" ht="15.75" hidden="false" customHeight="true" outlineLevel="0" collapsed="false">
      <c r="C745" s="34"/>
    </row>
    <row r="746" customFormat="false" ht="15.75" hidden="false" customHeight="true" outlineLevel="0" collapsed="false">
      <c r="C746" s="34"/>
    </row>
    <row r="747" customFormat="false" ht="15.75" hidden="false" customHeight="true" outlineLevel="0" collapsed="false">
      <c r="C747" s="34"/>
    </row>
    <row r="748" customFormat="false" ht="15.75" hidden="false" customHeight="true" outlineLevel="0" collapsed="false">
      <c r="C748" s="34"/>
    </row>
    <row r="749" customFormat="false" ht="15.75" hidden="false" customHeight="true" outlineLevel="0" collapsed="false">
      <c r="C749" s="34"/>
    </row>
    <row r="750" customFormat="false" ht="15.75" hidden="false" customHeight="true" outlineLevel="0" collapsed="false">
      <c r="C750" s="34"/>
    </row>
    <row r="751" customFormat="false" ht="15.75" hidden="false" customHeight="true" outlineLevel="0" collapsed="false">
      <c r="C751" s="34"/>
    </row>
    <row r="752" customFormat="false" ht="15.75" hidden="false" customHeight="true" outlineLevel="0" collapsed="false">
      <c r="C752" s="34"/>
    </row>
    <row r="753" customFormat="false" ht="15.75" hidden="false" customHeight="true" outlineLevel="0" collapsed="false">
      <c r="C753" s="34"/>
    </row>
    <row r="754" customFormat="false" ht="15.75" hidden="false" customHeight="true" outlineLevel="0" collapsed="false">
      <c r="C754" s="34"/>
    </row>
    <row r="755" customFormat="false" ht="15.75" hidden="false" customHeight="true" outlineLevel="0" collapsed="false">
      <c r="C755" s="34"/>
    </row>
    <row r="756" customFormat="false" ht="15.75" hidden="false" customHeight="true" outlineLevel="0" collapsed="false">
      <c r="C756" s="34"/>
    </row>
    <row r="757" customFormat="false" ht="15.75" hidden="false" customHeight="true" outlineLevel="0" collapsed="false">
      <c r="C757" s="34"/>
    </row>
    <row r="758" customFormat="false" ht="15.75" hidden="false" customHeight="true" outlineLevel="0" collapsed="false">
      <c r="C758" s="34"/>
    </row>
    <row r="759" customFormat="false" ht="15.75" hidden="false" customHeight="true" outlineLevel="0" collapsed="false">
      <c r="C759" s="34"/>
    </row>
    <row r="760" customFormat="false" ht="15.75" hidden="false" customHeight="true" outlineLevel="0" collapsed="false">
      <c r="C760" s="34"/>
    </row>
    <row r="761" customFormat="false" ht="15.75" hidden="false" customHeight="true" outlineLevel="0" collapsed="false">
      <c r="C761" s="34"/>
    </row>
    <row r="762" customFormat="false" ht="15.75" hidden="false" customHeight="true" outlineLevel="0" collapsed="false">
      <c r="C762" s="34"/>
    </row>
    <row r="763" customFormat="false" ht="15.75" hidden="false" customHeight="true" outlineLevel="0" collapsed="false">
      <c r="C763" s="34"/>
    </row>
    <row r="764" customFormat="false" ht="15.75" hidden="false" customHeight="true" outlineLevel="0" collapsed="false">
      <c r="C764" s="34"/>
    </row>
    <row r="765" customFormat="false" ht="15.75" hidden="false" customHeight="true" outlineLevel="0" collapsed="false">
      <c r="C765" s="34"/>
    </row>
    <row r="766" customFormat="false" ht="15.75" hidden="false" customHeight="true" outlineLevel="0" collapsed="false">
      <c r="C766" s="34"/>
    </row>
    <row r="767" customFormat="false" ht="15.75" hidden="false" customHeight="true" outlineLevel="0" collapsed="false">
      <c r="C767" s="34"/>
    </row>
    <row r="768" customFormat="false" ht="15.75" hidden="false" customHeight="true" outlineLevel="0" collapsed="false">
      <c r="C768" s="34"/>
    </row>
    <row r="769" customFormat="false" ht="15.75" hidden="false" customHeight="true" outlineLevel="0" collapsed="false">
      <c r="C769" s="34"/>
    </row>
    <row r="770" customFormat="false" ht="15.75" hidden="false" customHeight="true" outlineLevel="0" collapsed="false">
      <c r="C770" s="34"/>
    </row>
    <row r="771" customFormat="false" ht="15.75" hidden="false" customHeight="true" outlineLevel="0" collapsed="false">
      <c r="C771" s="34"/>
    </row>
    <row r="772" customFormat="false" ht="15.75" hidden="false" customHeight="true" outlineLevel="0" collapsed="false">
      <c r="C772" s="34"/>
    </row>
    <row r="773" customFormat="false" ht="15.75" hidden="false" customHeight="true" outlineLevel="0" collapsed="false">
      <c r="C773" s="34"/>
    </row>
    <row r="774" customFormat="false" ht="15.75" hidden="false" customHeight="true" outlineLevel="0" collapsed="false">
      <c r="C774" s="34"/>
    </row>
    <row r="775" customFormat="false" ht="15.75" hidden="false" customHeight="true" outlineLevel="0" collapsed="false">
      <c r="C775" s="34"/>
    </row>
    <row r="776" customFormat="false" ht="15.75" hidden="false" customHeight="true" outlineLevel="0" collapsed="false">
      <c r="C776" s="34"/>
    </row>
    <row r="777" customFormat="false" ht="15.75" hidden="false" customHeight="true" outlineLevel="0" collapsed="false">
      <c r="C777" s="34"/>
    </row>
    <row r="778" customFormat="false" ht="15.75" hidden="false" customHeight="true" outlineLevel="0" collapsed="false">
      <c r="C778" s="34"/>
    </row>
    <row r="779" customFormat="false" ht="15.75" hidden="false" customHeight="true" outlineLevel="0" collapsed="false">
      <c r="C779" s="34"/>
    </row>
    <row r="780" customFormat="false" ht="15.75" hidden="false" customHeight="true" outlineLevel="0" collapsed="false">
      <c r="C780" s="34"/>
    </row>
    <row r="781" customFormat="false" ht="15.75" hidden="false" customHeight="true" outlineLevel="0" collapsed="false">
      <c r="C781" s="34"/>
    </row>
    <row r="782" customFormat="false" ht="15.75" hidden="false" customHeight="true" outlineLevel="0" collapsed="false">
      <c r="C782" s="34"/>
    </row>
    <row r="783" customFormat="false" ht="15.75" hidden="false" customHeight="true" outlineLevel="0" collapsed="false">
      <c r="C783" s="34"/>
    </row>
    <row r="784" customFormat="false" ht="15.75" hidden="false" customHeight="true" outlineLevel="0" collapsed="false">
      <c r="C784" s="34"/>
    </row>
    <row r="785" customFormat="false" ht="15.75" hidden="false" customHeight="true" outlineLevel="0" collapsed="false">
      <c r="C785" s="34"/>
    </row>
    <row r="786" customFormat="false" ht="15.75" hidden="false" customHeight="true" outlineLevel="0" collapsed="false">
      <c r="C786" s="34"/>
    </row>
    <row r="787" customFormat="false" ht="15.75" hidden="false" customHeight="true" outlineLevel="0" collapsed="false">
      <c r="C787" s="34"/>
    </row>
    <row r="788" customFormat="false" ht="15.75" hidden="false" customHeight="true" outlineLevel="0" collapsed="false">
      <c r="C788" s="34"/>
    </row>
    <row r="789" customFormat="false" ht="15.75" hidden="false" customHeight="true" outlineLevel="0" collapsed="false">
      <c r="C789" s="34"/>
    </row>
    <row r="790" customFormat="false" ht="15.75" hidden="false" customHeight="true" outlineLevel="0" collapsed="false">
      <c r="C790" s="34"/>
    </row>
    <row r="791" customFormat="false" ht="15.75" hidden="false" customHeight="true" outlineLevel="0" collapsed="false">
      <c r="C791" s="34"/>
    </row>
    <row r="792" customFormat="false" ht="15.75" hidden="false" customHeight="true" outlineLevel="0" collapsed="false">
      <c r="C792" s="34"/>
    </row>
    <row r="793" customFormat="false" ht="15.75" hidden="false" customHeight="true" outlineLevel="0" collapsed="false">
      <c r="C793" s="34"/>
    </row>
    <row r="794" customFormat="false" ht="15.75" hidden="false" customHeight="true" outlineLevel="0" collapsed="false">
      <c r="C794" s="34"/>
    </row>
    <row r="795" customFormat="false" ht="15.75" hidden="false" customHeight="true" outlineLevel="0" collapsed="false">
      <c r="C795" s="34"/>
    </row>
    <row r="796" customFormat="false" ht="15.75" hidden="false" customHeight="true" outlineLevel="0" collapsed="false">
      <c r="C796" s="34"/>
    </row>
    <row r="797" customFormat="false" ht="15.75" hidden="false" customHeight="true" outlineLevel="0" collapsed="false">
      <c r="C797" s="34"/>
    </row>
    <row r="798" customFormat="false" ht="15.75" hidden="false" customHeight="true" outlineLevel="0" collapsed="false">
      <c r="C798" s="34"/>
    </row>
    <row r="799" customFormat="false" ht="15.75" hidden="false" customHeight="true" outlineLevel="0" collapsed="false">
      <c r="C799" s="34"/>
    </row>
    <row r="800" customFormat="false" ht="15.75" hidden="false" customHeight="true" outlineLevel="0" collapsed="false">
      <c r="C800" s="34"/>
    </row>
    <row r="801" customFormat="false" ht="15.75" hidden="false" customHeight="true" outlineLevel="0" collapsed="false">
      <c r="C801" s="34"/>
    </row>
    <row r="802" customFormat="false" ht="15.75" hidden="false" customHeight="true" outlineLevel="0" collapsed="false">
      <c r="C802" s="34"/>
    </row>
    <row r="803" customFormat="false" ht="15.75" hidden="false" customHeight="true" outlineLevel="0" collapsed="false">
      <c r="C803" s="34"/>
    </row>
    <row r="804" customFormat="false" ht="15.75" hidden="false" customHeight="true" outlineLevel="0" collapsed="false">
      <c r="C804" s="34"/>
    </row>
    <row r="805" customFormat="false" ht="15.75" hidden="false" customHeight="true" outlineLevel="0" collapsed="false">
      <c r="C805" s="34"/>
    </row>
    <row r="806" customFormat="false" ht="15.75" hidden="false" customHeight="true" outlineLevel="0" collapsed="false">
      <c r="C806" s="34"/>
    </row>
    <row r="807" customFormat="false" ht="15.75" hidden="false" customHeight="true" outlineLevel="0" collapsed="false">
      <c r="C807" s="34"/>
    </row>
    <row r="808" customFormat="false" ht="15.75" hidden="false" customHeight="true" outlineLevel="0" collapsed="false">
      <c r="C808" s="34"/>
    </row>
    <row r="809" customFormat="false" ht="15.75" hidden="false" customHeight="true" outlineLevel="0" collapsed="false">
      <c r="C809" s="34"/>
    </row>
    <row r="810" customFormat="false" ht="15.75" hidden="false" customHeight="true" outlineLevel="0" collapsed="false">
      <c r="C810" s="34"/>
    </row>
    <row r="811" customFormat="false" ht="15.75" hidden="false" customHeight="true" outlineLevel="0" collapsed="false">
      <c r="C811" s="34"/>
    </row>
    <row r="812" customFormat="false" ht="15.75" hidden="false" customHeight="true" outlineLevel="0" collapsed="false">
      <c r="C812" s="34"/>
    </row>
    <row r="813" customFormat="false" ht="15.75" hidden="false" customHeight="true" outlineLevel="0" collapsed="false">
      <c r="C813" s="34"/>
    </row>
    <row r="814" customFormat="false" ht="15.75" hidden="false" customHeight="true" outlineLevel="0" collapsed="false">
      <c r="C814" s="34"/>
    </row>
    <row r="815" customFormat="false" ht="15.75" hidden="false" customHeight="true" outlineLevel="0" collapsed="false">
      <c r="C815" s="34"/>
    </row>
    <row r="816" customFormat="false" ht="15.75" hidden="false" customHeight="true" outlineLevel="0" collapsed="false">
      <c r="C816" s="34"/>
    </row>
    <row r="817" customFormat="false" ht="15.75" hidden="false" customHeight="true" outlineLevel="0" collapsed="false">
      <c r="C817" s="34"/>
    </row>
    <row r="818" customFormat="false" ht="15.75" hidden="false" customHeight="true" outlineLevel="0" collapsed="false">
      <c r="C818" s="34"/>
    </row>
    <row r="819" customFormat="false" ht="15.75" hidden="false" customHeight="true" outlineLevel="0" collapsed="false">
      <c r="C819" s="34"/>
    </row>
    <row r="820" customFormat="false" ht="15.75" hidden="false" customHeight="true" outlineLevel="0" collapsed="false">
      <c r="C820" s="34"/>
    </row>
    <row r="821" customFormat="false" ht="15.75" hidden="false" customHeight="true" outlineLevel="0" collapsed="false">
      <c r="C821" s="34"/>
    </row>
    <row r="822" customFormat="false" ht="15.75" hidden="false" customHeight="true" outlineLevel="0" collapsed="false">
      <c r="C822" s="34"/>
    </row>
    <row r="823" customFormat="false" ht="15.75" hidden="false" customHeight="true" outlineLevel="0" collapsed="false">
      <c r="C823" s="34"/>
    </row>
    <row r="824" customFormat="false" ht="15.75" hidden="false" customHeight="true" outlineLevel="0" collapsed="false">
      <c r="C824" s="34"/>
    </row>
    <row r="825" customFormat="false" ht="15.75" hidden="false" customHeight="true" outlineLevel="0" collapsed="false">
      <c r="C825" s="34"/>
    </row>
    <row r="826" customFormat="false" ht="15.75" hidden="false" customHeight="true" outlineLevel="0" collapsed="false">
      <c r="C826" s="34"/>
    </row>
    <row r="827" customFormat="false" ht="15.75" hidden="false" customHeight="true" outlineLevel="0" collapsed="false">
      <c r="C827" s="34"/>
    </row>
    <row r="828" customFormat="false" ht="15.75" hidden="false" customHeight="true" outlineLevel="0" collapsed="false">
      <c r="C828" s="34"/>
    </row>
    <row r="829" customFormat="false" ht="15.75" hidden="false" customHeight="true" outlineLevel="0" collapsed="false">
      <c r="C829" s="34"/>
    </row>
    <row r="830" customFormat="false" ht="15.75" hidden="false" customHeight="true" outlineLevel="0" collapsed="false">
      <c r="C830" s="34"/>
    </row>
    <row r="831" customFormat="false" ht="15.75" hidden="false" customHeight="true" outlineLevel="0" collapsed="false">
      <c r="C831" s="34"/>
    </row>
    <row r="832" customFormat="false" ht="15.75" hidden="false" customHeight="true" outlineLevel="0" collapsed="false">
      <c r="C832" s="34"/>
    </row>
    <row r="833" customFormat="false" ht="15.75" hidden="false" customHeight="true" outlineLevel="0" collapsed="false">
      <c r="C833" s="34"/>
    </row>
    <row r="834" customFormat="false" ht="15.75" hidden="false" customHeight="true" outlineLevel="0" collapsed="false">
      <c r="C834" s="34"/>
    </row>
    <row r="835" customFormat="false" ht="15.75" hidden="false" customHeight="true" outlineLevel="0" collapsed="false">
      <c r="C835" s="34"/>
    </row>
    <row r="836" customFormat="false" ht="15.75" hidden="false" customHeight="true" outlineLevel="0" collapsed="false">
      <c r="C836" s="34"/>
    </row>
    <row r="837" customFormat="false" ht="15.75" hidden="false" customHeight="true" outlineLevel="0" collapsed="false">
      <c r="C837" s="34"/>
    </row>
    <row r="838" customFormat="false" ht="15.75" hidden="false" customHeight="true" outlineLevel="0" collapsed="false">
      <c r="C838" s="34"/>
    </row>
    <row r="839" customFormat="false" ht="15.75" hidden="false" customHeight="true" outlineLevel="0" collapsed="false">
      <c r="C839" s="34"/>
    </row>
    <row r="840" customFormat="false" ht="15.75" hidden="false" customHeight="true" outlineLevel="0" collapsed="false">
      <c r="C840" s="34"/>
    </row>
    <row r="841" customFormat="false" ht="15.75" hidden="false" customHeight="true" outlineLevel="0" collapsed="false">
      <c r="C841" s="34"/>
    </row>
    <row r="842" customFormat="false" ht="15.75" hidden="false" customHeight="true" outlineLevel="0" collapsed="false">
      <c r="C842" s="34"/>
    </row>
    <row r="843" customFormat="false" ht="15.75" hidden="false" customHeight="true" outlineLevel="0" collapsed="false">
      <c r="C843" s="34"/>
    </row>
    <row r="844" customFormat="false" ht="15.75" hidden="false" customHeight="true" outlineLevel="0" collapsed="false">
      <c r="C844" s="34"/>
    </row>
    <row r="845" customFormat="false" ht="15.75" hidden="false" customHeight="true" outlineLevel="0" collapsed="false">
      <c r="C845" s="34"/>
    </row>
    <row r="846" customFormat="false" ht="15.75" hidden="false" customHeight="true" outlineLevel="0" collapsed="false">
      <c r="C846" s="34"/>
    </row>
    <row r="847" customFormat="false" ht="15.75" hidden="false" customHeight="true" outlineLevel="0" collapsed="false">
      <c r="C847" s="34"/>
    </row>
    <row r="848" customFormat="false" ht="15.75" hidden="false" customHeight="true" outlineLevel="0" collapsed="false">
      <c r="C848" s="34"/>
    </row>
    <row r="849" customFormat="false" ht="15.75" hidden="false" customHeight="true" outlineLevel="0" collapsed="false">
      <c r="C849" s="34"/>
    </row>
    <row r="850" customFormat="false" ht="15.75" hidden="false" customHeight="true" outlineLevel="0" collapsed="false">
      <c r="C850" s="34"/>
    </row>
    <row r="851" customFormat="false" ht="15.75" hidden="false" customHeight="true" outlineLevel="0" collapsed="false">
      <c r="C851" s="34"/>
    </row>
    <row r="852" customFormat="false" ht="15.75" hidden="false" customHeight="true" outlineLevel="0" collapsed="false">
      <c r="C852" s="34"/>
    </row>
    <row r="853" customFormat="false" ht="15.75" hidden="false" customHeight="true" outlineLevel="0" collapsed="false">
      <c r="C853" s="34"/>
    </row>
    <row r="854" customFormat="false" ht="15.75" hidden="false" customHeight="true" outlineLevel="0" collapsed="false">
      <c r="C854" s="34"/>
    </row>
    <row r="855" customFormat="false" ht="15.75" hidden="false" customHeight="true" outlineLevel="0" collapsed="false">
      <c r="C855" s="34"/>
    </row>
    <row r="856" customFormat="false" ht="15.75" hidden="false" customHeight="true" outlineLevel="0" collapsed="false">
      <c r="C856" s="34"/>
    </row>
    <row r="857" customFormat="false" ht="15.75" hidden="false" customHeight="true" outlineLevel="0" collapsed="false">
      <c r="C857" s="34"/>
    </row>
    <row r="858" customFormat="false" ht="15.75" hidden="false" customHeight="true" outlineLevel="0" collapsed="false">
      <c r="C858" s="34"/>
    </row>
    <row r="859" customFormat="false" ht="15.75" hidden="false" customHeight="true" outlineLevel="0" collapsed="false">
      <c r="C859" s="34"/>
    </row>
    <row r="860" customFormat="false" ht="15.75" hidden="false" customHeight="true" outlineLevel="0" collapsed="false">
      <c r="C860" s="34"/>
    </row>
    <row r="861" customFormat="false" ht="15.75" hidden="false" customHeight="true" outlineLevel="0" collapsed="false">
      <c r="C861" s="34"/>
    </row>
    <row r="862" customFormat="false" ht="15.75" hidden="false" customHeight="true" outlineLevel="0" collapsed="false">
      <c r="C862" s="34"/>
    </row>
    <row r="863" customFormat="false" ht="15.75" hidden="false" customHeight="true" outlineLevel="0" collapsed="false">
      <c r="C863" s="34"/>
    </row>
    <row r="864" customFormat="false" ht="15.75" hidden="false" customHeight="true" outlineLevel="0" collapsed="false">
      <c r="C864" s="34"/>
    </row>
    <row r="865" customFormat="false" ht="15.75" hidden="false" customHeight="true" outlineLevel="0" collapsed="false">
      <c r="C865" s="34"/>
    </row>
    <row r="866" customFormat="false" ht="15.75" hidden="false" customHeight="true" outlineLevel="0" collapsed="false">
      <c r="C866" s="34"/>
    </row>
    <row r="867" customFormat="false" ht="15.75" hidden="false" customHeight="true" outlineLevel="0" collapsed="false">
      <c r="C867" s="34"/>
    </row>
    <row r="868" customFormat="false" ht="15.75" hidden="false" customHeight="true" outlineLevel="0" collapsed="false">
      <c r="C868" s="34"/>
    </row>
    <row r="869" customFormat="false" ht="15.75" hidden="false" customHeight="true" outlineLevel="0" collapsed="false">
      <c r="C869" s="34"/>
    </row>
    <row r="870" customFormat="false" ht="15.75" hidden="false" customHeight="true" outlineLevel="0" collapsed="false">
      <c r="C870" s="34"/>
    </row>
    <row r="871" customFormat="false" ht="15.75" hidden="false" customHeight="true" outlineLevel="0" collapsed="false">
      <c r="C871" s="34"/>
    </row>
    <row r="872" customFormat="false" ht="15.75" hidden="false" customHeight="true" outlineLevel="0" collapsed="false">
      <c r="C872" s="34"/>
    </row>
    <row r="873" customFormat="false" ht="15.75" hidden="false" customHeight="true" outlineLevel="0" collapsed="false">
      <c r="C873" s="34"/>
    </row>
    <row r="874" customFormat="false" ht="15.75" hidden="false" customHeight="true" outlineLevel="0" collapsed="false">
      <c r="C874" s="34"/>
    </row>
    <row r="875" customFormat="false" ht="15.75" hidden="false" customHeight="true" outlineLevel="0" collapsed="false">
      <c r="C875" s="34"/>
    </row>
    <row r="876" customFormat="false" ht="15.75" hidden="false" customHeight="true" outlineLevel="0" collapsed="false">
      <c r="C876" s="34"/>
    </row>
    <row r="877" customFormat="false" ht="15.75" hidden="false" customHeight="true" outlineLevel="0" collapsed="false">
      <c r="C877" s="34"/>
    </row>
    <row r="878" customFormat="false" ht="15.75" hidden="false" customHeight="true" outlineLevel="0" collapsed="false">
      <c r="C878" s="34"/>
    </row>
    <row r="879" customFormat="false" ht="15.75" hidden="false" customHeight="true" outlineLevel="0" collapsed="false">
      <c r="C879" s="34"/>
    </row>
    <row r="880" customFormat="false" ht="15.75" hidden="false" customHeight="true" outlineLevel="0" collapsed="false">
      <c r="C880" s="34"/>
    </row>
    <row r="881" customFormat="false" ht="15.75" hidden="false" customHeight="true" outlineLevel="0" collapsed="false">
      <c r="C881" s="34"/>
    </row>
    <row r="882" customFormat="false" ht="15.75" hidden="false" customHeight="true" outlineLevel="0" collapsed="false">
      <c r="C882" s="34"/>
    </row>
    <row r="883" customFormat="false" ht="15.75" hidden="false" customHeight="true" outlineLevel="0" collapsed="false">
      <c r="C883" s="34"/>
    </row>
    <row r="884" customFormat="false" ht="15.75" hidden="false" customHeight="true" outlineLevel="0" collapsed="false">
      <c r="C884" s="34"/>
    </row>
    <row r="885" customFormat="false" ht="15.75" hidden="false" customHeight="true" outlineLevel="0" collapsed="false">
      <c r="C885" s="34"/>
    </row>
    <row r="886" customFormat="false" ht="15.75" hidden="false" customHeight="true" outlineLevel="0" collapsed="false">
      <c r="C886" s="34"/>
    </row>
    <row r="887" customFormat="false" ht="15.75" hidden="false" customHeight="true" outlineLevel="0" collapsed="false">
      <c r="C887" s="34"/>
    </row>
    <row r="888" customFormat="false" ht="15.75" hidden="false" customHeight="true" outlineLevel="0" collapsed="false">
      <c r="C888" s="34"/>
    </row>
    <row r="889" customFormat="false" ht="15.75" hidden="false" customHeight="true" outlineLevel="0" collapsed="false">
      <c r="C889" s="34"/>
    </row>
    <row r="890" customFormat="false" ht="15.75" hidden="false" customHeight="true" outlineLevel="0" collapsed="false">
      <c r="C890" s="34"/>
    </row>
    <row r="891" customFormat="false" ht="15.75" hidden="false" customHeight="true" outlineLevel="0" collapsed="false">
      <c r="C891" s="34"/>
    </row>
    <row r="892" customFormat="false" ht="15.75" hidden="false" customHeight="true" outlineLevel="0" collapsed="false">
      <c r="C892" s="34"/>
    </row>
    <row r="893" customFormat="false" ht="15.75" hidden="false" customHeight="true" outlineLevel="0" collapsed="false">
      <c r="C893" s="34"/>
    </row>
    <row r="894" customFormat="false" ht="15.75" hidden="false" customHeight="true" outlineLevel="0" collapsed="false">
      <c r="C894" s="34"/>
    </row>
    <row r="895" customFormat="false" ht="15.75" hidden="false" customHeight="true" outlineLevel="0" collapsed="false">
      <c r="C895" s="34"/>
    </row>
    <row r="896" customFormat="false" ht="15.75" hidden="false" customHeight="true" outlineLevel="0" collapsed="false">
      <c r="C896" s="34"/>
    </row>
    <row r="897" customFormat="false" ht="15.75" hidden="false" customHeight="true" outlineLevel="0" collapsed="false">
      <c r="C897" s="34"/>
    </row>
    <row r="898" customFormat="false" ht="15.75" hidden="false" customHeight="true" outlineLevel="0" collapsed="false">
      <c r="C898" s="34"/>
    </row>
    <row r="899" customFormat="false" ht="15.75" hidden="false" customHeight="true" outlineLevel="0" collapsed="false">
      <c r="C899" s="34"/>
    </row>
    <row r="900" customFormat="false" ht="15.75" hidden="false" customHeight="true" outlineLevel="0" collapsed="false">
      <c r="C900" s="34"/>
    </row>
    <row r="901" customFormat="false" ht="15.75" hidden="false" customHeight="true" outlineLevel="0" collapsed="false">
      <c r="C901" s="34"/>
    </row>
    <row r="902" customFormat="false" ht="15.75" hidden="false" customHeight="true" outlineLevel="0" collapsed="false">
      <c r="C902" s="34"/>
    </row>
    <row r="903" customFormat="false" ht="15.75" hidden="false" customHeight="true" outlineLevel="0" collapsed="false">
      <c r="C903" s="34"/>
    </row>
    <row r="904" customFormat="false" ht="15.75" hidden="false" customHeight="true" outlineLevel="0" collapsed="false">
      <c r="C904" s="34"/>
    </row>
    <row r="905" customFormat="false" ht="15.75" hidden="false" customHeight="true" outlineLevel="0" collapsed="false">
      <c r="C905" s="34"/>
    </row>
    <row r="906" customFormat="false" ht="15.75" hidden="false" customHeight="true" outlineLevel="0" collapsed="false">
      <c r="C906" s="34"/>
    </row>
    <row r="907" customFormat="false" ht="15.75" hidden="false" customHeight="true" outlineLevel="0" collapsed="false">
      <c r="C907" s="34"/>
    </row>
    <row r="908" customFormat="false" ht="15.75" hidden="false" customHeight="true" outlineLevel="0" collapsed="false">
      <c r="C908" s="34"/>
    </row>
    <row r="909" customFormat="false" ht="15.75" hidden="false" customHeight="true" outlineLevel="0" collapsed="false">
      <c r="C909" s="34"/>
    </row>
    <row r="910" customFormat="false" ht="15.75" hidden="false" customHeight="true" outlineLevel="0" collapsed="false">
      <c r="C910" s="34"/>
    </row>
    <row r="911" customFormat="false" ht="15.75" hidden="false" customHeight="true" outlineLevel="0" collapsed="false">
      <c r="C911" s="34"/>
    </row>
    <row r="912" customFormat="false" ht="15.75" hidden="false" customHeight="true" outlineLevel="0" collapsed="false">
      <c r="C912" s="34"/>
    </row>
    <row r="913" customFormat="false" ht="15.75" hidden="false" customHeight="true" outlineLevel="0" collapsed="false">
      <c r="C913" s="34"/>
    </row>
    <row r="914" customFormat="false" ht="15.75" hidden="false" customHeight="true" outlineLevel="0" collapsed="false">
      <c r="C914" s="34"/>
    </row>
    <row r="915" customFormat="false" ht="15.75" hidden="false" customHeight="true" outlineLevel="0" collapsed="false">
      <c r="C915" s="34"/>
    </row>
    <row r="916" customFormat="false" ht="15.75" hidden="false" customHeight="true" outlineLevel="0" collapsed="false">
      <c r="C916" s="34"/>
    </row>
    <row r="917" customFormat="false" ht="15.75" hidden="false" customHeight="true" outlineLevel="0" collapsed="false">
      <c r="C917" s="34"/>
    </row>
    <row r="918" customFormat="false" ht="15.75" hidden="false" customHeight="true" outlineLevel="0" collapsed="false">
      <c r="C918" s="34"/>
    </row>
    <row r="919" customFormat="false" ht="15.75" hidden="false" customHeight="true" outlineLevel="0" collapsed="false">
      <c r="C919" s="34"/>
    </row>
    <row r="920" customFormat="false" ht="15.75" hidden="false" customHeight="true" outlineLevel="0" collapsed="false">
      <c r="C920" s="34"/>
    </row>
    <row r="921" customFormat="false" ht="15.75" hidden="false" customHeight="true" outlineLevel="0" collapsed="false">
      <c r="C921" s="34"/>
    </row>
    <row r="922" customFormat="false" ht="15.75" hidden="false" customHeight="true" outlineLevel="0" collapsed="false">
      <c r="C922" s="34"/>
    </row>
    <row r="923" customFormat="false" ht="15.75" hidden="false" customHeight="true" outlineLevel="0" collapsed="false">
      <c r="C923" s="34"/>
    </row>
    <row r="924" customFormat="false" ht="15.75" hidden="false" customHeight="true" outlineLevel="0" collapsed="false">
      <c r="C924" s="34"/>
    </row>
    <row r="925" customFormat="false" ht="15.75" hidden="false" customHeight="true" outlineLevel="0" collapsed="false">
      <c r="C925" s="34"/>
    </row>
    <row r="926" customFormat="false" ht="15.75" hidden="false" customHeight="true" outlineLevel="0" collapsed="false">
      <c r="C926" s="34"/>
    </row>
    <row r="927" customFormat="false" ht="15.75" hidden="false" customHeight="true" outlineLevel="0" collapsed="false">
      <c r="C927" s="34"/>
    </row>
    <row r="928" customFormat="false" ht="15.75" hidden="false" customHeight="true" outlineLevel="0" collapsed="false">
      <c r="C928" s="34"/>
    </row>
    <row r="929" customFormat="false" ht="15.75" hidden="false" customHeight="true" outlineLevel="0" collapsed="false">
      <c r="C929" s="34"/>
    </row>
    <row r="930" customFormat="false" ht="15.75" hidden="false" customHeight="true" outlineLevel="0" collapsed="false">
      <c r="C930" s="34"/>
    </row>
    <row r="931" customFormat="false" ht="15.75" hidden="false" customHeight="true" outlineLevel="0" collapsed="false">
      <c r="C931" s="34"/>
    </row>
    <row r="932" customFormat="false" ht="15.75" hidden="false" customHeight="true" outlineLevel="0" collapsed="false">
      <c r="C932" s="34"/>
    </row>
    <row r="933" customFormat="false" ht="15.75" hidden="false" customHeight="true" outlineLevel="0" collapsed="false">
      <c r="C933" s="34"/>
    </row>
    <row r="934" customFormat="false" ht="15.75" hidden="false" customHeight="true" outlineLevel="0" collapsed="false">
      <c r="C934" s="34"/>
    </row>
    <row r="935" customFormat="false" ht="15.75" hidden="false" customHeight="true" outlineLevel="0" collapsed="false">
      <c r="C935" s="34"/>
    </row>
    <row r="936" customFormat="false" ht="15.75" hidden="false" customHeight="true" outlineLevel="0" collapsed="false">
      <c r="C936" s="34"/>
    </row>
    <row r="937" customFormat="false" ht="15.75" hidden="false" customHeight="true" outlineLevel="0" collapsed="false">
      <c r="C937" s="34"/>
    </row>
    <row r="938" customFormat="false" ht="15.75" hidden="false" customHeight="true" outlineLevel="0" collapsed="false">
      <c r="C938" s="34"/>
    </row>
    <row r="939" customFormat="false" ht="15.75" hidden="false" customHeight="true" outlineLevel="0" collapsed="false">
      <c r="C939" s="34"/>
    </row>
    <row r="940" customFormat="false" ht="15.75" hidden="false" customHeight="true" outlineLevel="0" collapsed="false">
      <c r="C940" s="34"/>
    </row>
    <row r="941" customFormat="false" ht="15.75" hidden="false" customHeight="true" outlineLevel="0" collapsed="false">
      <c r="C941" s="34"/>
    </row>
    <row r="942" customFormat="false" ht="15.75" hidden="false" customHeight="true" outlineLevel="0" collapsed="false">
      <c r="C942" s="34"/>
    </row>
    <row r="943" customFormat="false" ht="15.75" hidden="false" customHeight="true" outlineLevel="0" collapsed="false">
      <c r="C943" s="34"/>
    </row>
    <row r="944" customFormat="false" ht="15.75" hidden="false" customHeight="true" outlineLevel="0" collapsed="false">
      <c r="C944" s="34"/>
    </row>
    <row r="945" customFormat="false" ht="15.75" hidden="false" customHeight="true" outlineLevel="0" collapsed="false">
      <c r="C945" s="34"/>
    </row>
    <row r="946" customFormat="false" ht="15.75" hidden="false" customHeight="true" outlineLevel="0" collapsed="false">
      <c r="C946" s="34"/>
    </row>
    <row r="947" customFormat="false" ht="15.75" hidden="false" customHeight="true" outlineLevel="0" collapsed="false">
      <c r="C947" s="34"/>
    </row>
    <row r="948" customFormat="false" ht="15.75" hidden="false" customHeight="true" outlineLevel="0" collapsed="false">
      <c r="C948" s="34"/>
    </row>
    <row r="949" customFormat="false" ht="15.75" hidden="false" customHeight="true" outlineLevel="0" collapsed="false">
      <c r="C949" s="34"/>
    </row>
    <row r="950" customFormat="false" ht="15.75" hidden="false" customHeight="true" outlineLevel="0" collapsed="false">
      <c r="C950" s="34"/>
    </row>
    <row r="951" customFormat="false" ht="15.75" hidden="false" customHeight="true" outlineLevel="0" collapsed="false">
      <c r="C951" s="34"/>
    </row>
    <row r="952" customFormat="false" ht="15.75" hidden="false" customHeight="true" outlineLevel="0" collapsed="false">
      <c r="C952" s="34"/>
    </row>
    <row r="953" customFormat="false" ht="15.75" hidden="false" customHeight="true" outlineLevel="0" collapsed="false">
      <c r="C953" s="34"/>
    </row>
    <row r="954" customFormat="false" ht="15.75" hidden="false" customHeight="true" outlineLevel="0" collapsed="false">
      <c r="C954" s="34"/>
    </row>
    <row r="955" customFormat="false" ht="15.75" hidden="false" customHeight="true" outlineLevel="0" collapsed="false">
      <c r="C955" s="34"/>
    </row>
    <row r="956" customFormat="false" ht="15.75" hidden="false" customHeight="true" outlineLevel="0" collapsed="false">
      <c r="C956" s="34"/>
    </row>
    <row r="957" customFormat="false" ht="15.75" hidden="false" customHeight="true" outlineLevel="0" collapsed="false">
      <c r="C957" s="34"/>
    </row>
    <row r="958" customFormat="false" ht="15.75" hidden="false" customHeight="true" outlineLevel="0" collapsed="false">
      <c r="C958" s="34"/>
    </row>
    <row r="959" customFormat="false" ht="15.75" hidden="false" customHeight="true" outlineLevel="0" collapsed="false">
      <c r="C959" s="34"/>
    </row>
    <row r="960" customFormat="false" ht="15.75" hidden="false" customHeight="true" outlineLevel="0" collapsed="false">
      <c r="C960" s="34"/>
    </row>
    <row r="961" customFormat="false" ht="15.75" hidden="false" customHeight="true" outlineLevel="0" collapsed="false">
      <c r="C961" s="34"/>
    </row>
    <row r="962" customFormat="false" ht="15.75" hidden="false" customHeight="true" outlineLevel="0" collapsed="false">
      <c r="C962" s="34"/>
    </row>
    <row r="963" customFormat="false" ht="15.75" hidden="false" customHeight="true" outlineLevel="0" collapsed="false">
      <c r="C963" s="34"/>
    </row>
    <row r="964" customFormat="false" ht="15.75" hidden="false" customHeight="true" outlineLevel="0" collapsed="false">
      <c r="C964" s="34"/>
    </row>
    <row r="965" customFormat="false" ht="15.75" hidden="false" customHeight="true" outlineLevel="0" collapsed="false">
      <c r="C965" s="34"/>
    </row>
    <row r="966" customFormat="false" ht="15.75" hidden="false" customHeight="true" outlineLevel="0" collapsed="false">
      <c r="C966" s="34"/>
    </row>
    <row r="967" customFormat="false" ht="15.75" hidden="false" customHeight="true" outlineLevel="0" collapsed="false">
      <c r="C967" s="34"/>
    </row>
    <row r="968" customFormat="false" ht="15.75" hidden="false" customHeight="true" outlineLevel="0" collapsed="false">
      <c r="C968" s="34"/>
    </row>
    <row r="969" customFormat="false" ht="15.75" hidden="false" customHeight="true" outlineLevel="0" collapsed="false">
      <c r="C969" s="34"/>
    </row>
    <row r="970" customFormat="false" ht="15.75" hidden="false" customHeight="true" outlineLevel="0" collapsed="false">
      <c r="C970" s="34"/>
    </row>
    <row r="971" customFormat="false" ht="15.75" hidden="false" customHeight="true" outlineLevel="0" collapsed="false">
      <c r="C971" s="34"/>
    </row>
    <row r="972" customFormat="false" ht="15.75" hidden="false" customHeight="true" outlineLevel="0" collapsed="false">
      <c r="C972" s="34"/>
    </row>
    <row r="973" customFormat="false" ht="15.75" hidden="false" customHeight="true" outlineLevel="0" collapsed="false">
      <c r="C973" s="34"/>
    </row>
    <row r="974" customFormat="false" ht="15.75" hidden="false" customHeight="true" outlineLevel="0" collapsed="false">
      <c r="C974" s="34"/>
    </row>
    <row r="975" customFormat="false" ht="15.75" hidden="false" customHeight="true" outlineLevel="0" collapsed="false">
      <c r="C975" s="34"/>
    </row>
    <row r="976" customFormat="false" ht="15.75" hidden="false" customHeight="true" outlineLevel="0" collapsed="false">
      <c r="C976" s="34"/>
    </row>
    <row r="977" customFormat="false" ht="15.75" hidden="false" customHeight="true" outlineLevel="0" collapsed="false">
      <c r="C977" s="34"/>
    </row>
    <row r="978" customFormat="false" ht="15.75" hidden="false" customHeight="true" outlineLevel="0" collapsed="false">
      <c r="C978" s="34"/>
    </row>
    <row r="979" customFormat="false" ht="15.75" hidden="false" customHeight="true" outlineLevel="0" collapsed="false">
      <c r="C979" s="34"/>
    </row>
    <row r="980" customFormat="false" ht="15.75" hidden="false" customHeight="true" outlineLevel="0" collapsed="false">
      <c r="C980" s="34"/>
    </row>
    <row r="981" customFormat="false" ht="15.75" hidden="false" customHeight="true" outlineLevel="0" collapsed="false">
      <c r="C981" s="34"/>
    </row>
    <row r="982" customFormat="false" ht="15.75" hidden="false" customHeight="true" outlineLevel="0" collapsed="false">
      <c r="C982" s="34"/>
    </row>
    <row r="983" customFormat="false" ht="15.75" hidden="false" customHeight="true" outlineLevel="0" collapsed="false">
      <c r="C983" s="34"/>
    </row>
    <row r="984" customFormat="false" ht="15.75" hidden="false" customHeight="true" outlineLevel="0" collapsed="false">
      <c r="C984" s="34"/>
    </row>
    <row r="985" customFormat="false" ht="15.75" hidden="false" customHeight="true" outlineLevel="0" collapsed="false">
      <c r="C985" s="34"/>
    </row>
    <row r="986" customFormat="false" ht="15.75" hidden="false" customHeight="true" outlineLevel="0" collapsed="false">
      <c r="C986" s="34"/>
    </row>
    <row r="987" customFormat="false" ht="15.75" hidden="false" customHeight="true" outlineLevel="0" collapsed="false">
      <c r="C987" s="34"/>
    </row>
    <row r="988" customFormat="false" ht="15.75" hidden="false" customHeight="true" outlineLevel="0" collapsed="false">
      <c r="C988" s="34"/>
    </row>
    <row r="989" customFormat="false" ht="15.75" hidden="false" customHeight="true" outlineLevel="0" collapsed="false">
      <c r="C989" s="34"/>
    </row>
    <row r="990" customFormat="false" ht="15.75" hidden="false" customHeight="true" outlineLevel="0" collapsed="false">
      <c r="C990" s="34"/>
    </row>
    <row r="991" customFormat="false" ht="15.75" hidden="false" customHeight="true" outlineLevel="0" collapsed="false">
      <c r="C991" s="34"/>
    </row>
    <row r="992" customFormat="false" ht="15.75" hidden="false" customHeight="true" outlineLevel="0" collapsed="false">
      <c r="C992" s="34"/>
    </row>
    <row r="993" customFormat="false" ht="15.75" hidden="false" customHeight="true" outlineLevel="0" collapsed="false">
      <c r="C993" s="34"/>
    </row>
    <row r="994" customFormat="false" ht="15.75" hidden="false" customHeight="true" outlineLevel="0" collapsed="false">
      <c r="C994" s="34"/>
    </row>
    <row r="995" customFormat="false" ht="15.75" hidden="false" customHeight="true" outlineLevel="0" collapsed="false">
      <c r="C995" s="34"/>
    </row>
    <row r="996" customFormat="false" ht="15.75" hidden="false" customHeight="true" outlineLevel="0" collapsed="false">
      <c r="C996" s="34"/>
    </row>
    <row r="997" customFormat="false" ht="15.75" hidden="false" customHeight="true" outlineLevel="0" collapsed="false">
      <c r="C997" s="34"/>
    </row>
    <row r="998" customFormat="false" ht="15.75" hidden="false" customHeight="true" outlineLevel="0" collapsed="false">
      <c r="C998" s="34"/>
    </row>
    <row r="999" customFormat="false" ht="15.75" hidden="false" customHeight="true" outlineLevel="0" collapsed="false">
      <c r="C999" s="34"/>
    </row>
    <row r="1000" customFormat="false" ht="15.75" hidden="false" customHeight="true" outlineLevel="0" collapsed="false">
      <c r="C1000" s="3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0" activeCellId="0" sqref="C20"/>
    </sheetView>
  </sheetViews>
  <sheetFormatPr defaultColWidth="14.5078125" defaultRowHeight="15" zeroHeight="false" outlineLevelRow="0" outlineLevelCol="0"/>
  <cols>
    <col collapsed="false" customWidth="true" hidden="false" outlineLevel="0" max="2" min="2" style="0" width="28.67"/>
    <col collapsed="false" customWidth="true" hidden="false" outlineLevel="0" max="3" min="3" style="0" width="17.33"/>
  </cols>
  <sheetData>
    <row r="2" customFormat="false" ht="15" hidden="false" customHeight="true" outlineLevel="0" collapsed="false">
      <c r="B2" s="37"/>
    </row>
    <row r="3" customFormat="false" ht="15" hidden="false" customHeight="true" outlineLevel="0" collapsed="false">
      <c r="B3" s="35"/>
    </row>
    <row r="4" customFormat="false" ht="15" hidden="false" customHeight="true" outlineLevel="0" collapsed="false">
      <c r="B4" s="35"/>
    </row>
    <row r="5" customFormat="false" ht="15" hidden="false" customHeight="true" outlineLevel="0" collapsed="false">
      <c r="B5" s="35"/>
    </row>
    <row r="6" customFormat="false" ht="15" hidden="false" customHeight="true" outlineLevel="0" collapsed="false">
      <c r="B6" s="35"/>
    </row>
    <row r="7" customFormat="false" ht="15" hidden="false" customHeight="true" outlineLevel="0" collapsed="false">
      <c r="B7" s="35"/>
    </row>
    <row r="8" customFormat="false" ht="15" hidden="false" customHeight="true" outlineLevel="0" collapsed="false">
      <c r="B8" s="35"/>
    </row>
    <row r="9" customFormat="false" ht="15" hidden="false" customHeight="true" outlineLevel="0" collapsed="false">
      <c r="B9" s="35"/>
    </row>
    <row r="10" customFormat="false" ht="15" hidden="false" customHeight="true" outlineLevel="0" collapsed="false">
      <c r="B10" s="35"/>
    </row>
    <row r="12" customFormat="false" ht="15" hidden="false" customHeight="true" outlineLevel="0" collapsed="false">
      <c r="B12" s="38" t="s">
        <v>80</v>
      </c>
    </row>
    <row r="13" customFormat="false" ht="15" hidden="false" customHeight="true" outlineLevel="0" collapsed="false">
      <c r="B13" s="35" t="s">
        <v>153</v>
      </c>
    </row>
    <row r="14" customFormat="false" ht="15" hidden="false" customHeight="true" outlineLevel="0" collapsed="false">
      <c r="B14" s="35" t="s">
        <v>270</v>
      </c>
    </row>
    <row r="15" customFormat="false" ht="15" hidden="false" customHeight="true" outlineLevel="0" collapsed="false">
      <c r="B15" s="35" t="s">
        <v>371</v>
      </c>
    </row>
    <row r="16" customFormat="false" ht="15" hidden="false" customHeight="true" outlineLevel="0" collapsed="false">
      <c r="B16" s="35" t="s">
        <v>297</v>
      </c>
    </row>
    <row r="17" customFormat="false" ht="15" hidden="false" customHeight="true" outlineLevel="0" collapsed="false">
      <c r="B17" s="35" t="s">
        <v>1175</v>
      </c>
    </row>
    <row r="18" customFormat="false" ht="15" hidden="false" customHeight="true" outlineLevel="0" collapsed="false">
      <c r="B18" s="35" t="s">
        <v>315</v>
      </c>
    </row>
    <row r="19" customFormat="false" ht="15" hidden="false" customHeight="true" outlineLevel="0" collapsed="false">
      <c r="B19" s="35" t="s">
        <v>102</v>
      </c>
    </row>
    <row r="20" customFormat="false" ht="15" hidden="false" customHeight="true" outlineLevel="0" collapsed="false">
      <c r="B20" s="35" t="s">
        <v>226</v>
      </c>
    </row>
    <row r="21" customFormat="false" ht="15" hidden="false" customHeight="true" outlineLevel="0" collapsed="false">
      <c r="B21" s="35" t="s">
        <v>142</v>
      </c>
    </row>
    <row r="22" customFormat="false" ht="15" hidden="false" customHeight="true" outlineLevel="0" collapsed="false">
      <c r="B22" s="35" t="s">
        <v>535</v>
      </c>
    </row>
    <row r="23" customFormat="false" ht="15" hidden="false" customHeight="true" outlineLevel="0" collapsed="false">
      <c r="B23" s="35" t="s">
        <v>1132</v>
      </c>
    </row>
    <row r="24" customFormat="false" ht="15" hidden="false" customHeight="true" outlineLevel="0" collapsed="false">
      <c r="B24" s="35" t="s">
        <v>458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incomf</dc:creator>
  <dc:description/>
  <dc:language>en-US</dc:language>
  <cp:lastModifiedBy>Андрей Казаков </cp:lastModifiedBy>
  <dcterms:modified xsi:type="dcterms:W3CDTF">2026-09-27T00:38:33Z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